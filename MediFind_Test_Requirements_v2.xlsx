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Performance, AI, Payments &amp; Layout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COUNTA(PRIVACY_CALLS!$A$4:$A$72)-COUNTIF(PRIVACY_CALLS!$A$4:$A$72,"  *")</f>
        <v/>
      </c>
      <c r="D11" s="19">
        <f>COUNTIF(PRIVACY_CALLS!$H$4:$H$72,"PASS")</f>
        <v/>
      </c>
      <c r="E11" s="19">
        <f>COUNTIF(PRIVACY_CALLS!$H$4:$H$72,"FAIL")</f>
        <v/>
      </c>
      <c r="F11" s="19">
        <f>COUNTIF(PRIVACY_CALLS!$H$4:$H$72,"PENDING")</f>
        <v/>
      </c>
      <c r="G11" s="19">
        <f>COUNTIF(PRIVACY_CALLS!$H$4:$H$72,"BLOCKED")</f>
        <v/>
      </c>
      <c r="H11" s="19">
        <f>COUNTIF(PRIVACY_CALLS!$H$4:$H$72,"N/A")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$72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$72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$72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$72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$72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$72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$72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$72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$72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$72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$72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$72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$72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UX-07,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$72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$72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$72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$72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$72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$72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$72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$72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$72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$72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$72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$72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$72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$72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$72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$72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UX-05,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$72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$72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$72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$72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$72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$72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$72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$72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$72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$72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$72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PERF-04, PERF-05,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$72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$72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$72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$72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$72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$72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$72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5" t="inlineStr">
        <is>
          <t>PASS</t>
        </is>
      </c>
      <c r="I25" s="39" t="inlineStr">
        <is>
          <t>2026-09-17: emulator — incoming voice call rang 45 s unanswered, screen closed; caller got call:missed</t>
        </is>
      </c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(EMERGENCY_ENDED); emulator: connected voice call closed on resolve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5" t="inlineStr">
        <is>
          <t>PASS</t>
        </is>
      </c>
      <c r="I28" s="43" t="inlineStr">
        <is>
          <t>2026-09-17: emulator ↔ browser peer — voice call accepted, timer running, audio bytes flowing both ways. Fixed: offer arriving while the camera started was dropped (now queued), stuck on "Connecting…" (now polls ICE state)</t>
        </is>
      </c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5" t="inlineStr">
        <is>
          <t>PASS</t>
        </is>
      </c>
      <c r="I29" s="39" t="inlineStr">
        <is>
          <t>2026-09-17: emulator ↔ browser peer — video call, remote video decoded (158 frames) and local preview shown. Fixed: emulator crash on video (run emulator without Vulkan)</t>
        </is>
      </c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5" t="inlineStr">
        <is>
          <t>PASS</t>
        </is>
      </c>
      <c r="I30" s="43" t="inlineStr">
        <is>
          <t>2026-09-17: app in background — "Incoming video call / Sara Malik is calling you" notification; tapping it opens the Accept/Decline screen</t>
        </is>
      </c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5" t="inlineStr">
        <is>
          <t>PASS</t>
        </is>
      </c>
      <c r="I31" s="39" t="inlineStr">
        <is>
          <t>2026-09-17: Deaf patient — chat header and tracking show only Video call; voice call refused (VIDEO_ONLY); incoming video connects with remote video</t>
        </is>
      </c>
    </row>
    <row r="32" ht="18" customHeight="1">
      <c r="A32" s="36" t="inlineStr">
        <is>
          <t xml:space="preserve">  PERFORMANCE &amp; AI</t>
        </is>
      </c>
    </row>
    <row r="33" ht="40" customHeight="1">
      <c r="A33" s="37" t="inlineStr">
        <is>
          <t>PERF-01</t>
        </is>
      </c>
      <c r="B33" s="38" t="inlineStr">
        <is>
          <t>FR8.4</t>
        </is>
      </c>
      <c r="C33" s="39" t="inlineStr">
        <is>
          <t>Performance</t>
        </is>
      </c>
      <c r="D33" s="39" t="inlineStr">
        <is>
          <t>SOS countdown opens immediately after Send SOS</t>
        </is>
      </c>
      <c r="E33" s="39" t="inlineStr">
        <is>
          <t>Send SOS with location already known</t>
        </is>
      </c>
      <c r="F33" s="39" t="inlineStr">
        <is>
          <t>Countdown visible within 1 s (location refined during the countdown)</t>
        </is>
      </c>
      <c r="G33" s="38" t="inlineStr">
        <is>
          <t>High</t>
        </is>
      </c>
      <c r="H33" s="45" t="inlineStr">
        <is>
          <t>PASS</t>
        </is>
      </c>
      <c r="I33" s="39" t="inlineStr">
        <is>
          <t>2026-09-17: emulator recording — countdown visible ~0.1 s after Send SOS (was 8–10 s waiting for GPS)</t>
        </is>
      </c>
    </row>
    <row r="34" ht="40" customHeight="1">
      <c r="A34" s="41" t="inlineStr">
        <is>
          <t>PERF-02</t>
        </is>
      </c>
      <c r="B34" s="42" t="inlineStr">
        <is>
          <t>FR8.4</t>
        </is>
      </c>
      <c r="C34" s="43" t="inlineStr">
        <is>
          <t>Performance</t>
        </is>
      </c>
      <c r="D34" s="43" t="inlineStr">
        <is>
          <t>Responder reaches navigation right after accepting</t>
        </is>
      </c>
      <c r="E34" s="43" t="inlineStr">
        <is>
          <t>Accept an emergency</t>
        </is>
      </c>
      <c r="F34" s="43" t="inlineStr">
        <is>
          <t>Active emergency screen within ~1 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2026-09-17: responder reaches navigation ~1 s after Accept (was ~15 s)</t>
        </is>
      </c>
    </row>
    <row r="35" ht="40" customHeight="1">
      <c r="A35" s="37" t="inlineStr">
        <is>
          <t>PERF-03</t>
        </is>
      </c>
      <c r="B35" s="38" t="inlineStr">
        <is>
          <t>FR6.2</t>
        </is>
      </c>
      <c r="C35" s="39" t="inlineStr">
        <is>
          <t>Tracking</t>
        </is>
      </c>
      <c r="D35" s="39" t="inlineStr">
        <is>
          <t>Responder marker moves smoothly along the road</t>
        </is>
      </c>
      <c r="E35" s="39" t="inlineStr">
        <is>
          <t>Watch the tracking map during a drive</t>
        </is>
      </c>
      <c r="F35" s="39" t="inlineStr">
        <is>
          <t>No backward jumps or U-turn loops; heading follows the road</t>
        </is>
      </c>
      <c r="G35" s="38" t="inlineStr">
        <is>
          <t>Medium</t>
        </is>
      </c>
      <c r="H35" s="45" t="inlineStr">
        <is>
          <t>PASS</t>
        </is>
      </c>
      <c r="I35" s="39" t="inlineStr">
        <is>
          <t>2026-09-17: frame analysis — no backward jumps or U-turn loops; remaining ~0.3 s marker blink about every 16 s on the emulator (route redraw)</t>
        </is>
      </c>
    </row>
    <row r="36" ht="40" customHeight="1">
      <c r="A36" s="41" t="inlineStr">
        <is>
          <t>AI-01</t>
        </is>
      </c>
      <c r="B36" s="46" t="inlineStr">
        <is>
          <t>Beyond SRS</t>
        </is>
      </c>
      <c r="C36" s="43" t="inlineStr">
        <is>
          <t>AI</t>
        </is>
      </c>
      <c r="D36" s="43" t="inlineStr">
        <is>
          <t>AI symptom check suggests the emergency type</t>
        </is>
      </c>
      <c r="E36" s="43" t="inlineStr">
        <is>
          <t>Type symptoms on the emergency type screen and tap Suggest</t>
        </is>
      </c>
      <c r="F36" s="43" t="inlineStr">
        <is>
          <t>Suggested type with confidence and reason; type preselected</t>
        </is>
      </c>
      <c r="G36" s="42" t="inlineStr">
        <is>
          <t>Medium</t>
        </is>
      </c>
      <c r="H36" s="45" t="inlineStr">
        <is>
          <t>PASS</t>
        </is>
      </c>
      <c r="I36" s="43" t="inlineStr">
        <is>
          <t>2026-09-17: Gemini free tier (gemini-3.1-flash-lite) — "chest pain spreading to left arm" → Cardiac 98%, ~2 s</t>
        </is>
      </c>
    </row>
    <row r="37" ht="40" customHeight="1">
      <c r="A37" s="37" t="inlineStr">
        <is>
          <t>AI-02</t>
        </is>
      </c>
      <c r="B37" s="44" t="inlineStr">
        <is>
          <t>Beyond SRS</t>
        </is>
      </c>
      <c r="C37" s="39" t="inlineStr">
        <is>
          <t>AI</t>
        </is>
      </c>
      <c r="D37" s="39" t="inlineStr">
        <is>
          <t>AI quick replies are personalised for a Deaf patient</t>
        </is>
      </c>
      <c r="E37" s="39" t="inlineStr">
        <is>
          <t>Deaf patient opens Quick messages during an emergency</t>
        </is>
      </c>
      <c r="F37" s="39" t="inlineStr">
        <is>
          <t>Suggestions reflect the medical profile</t>
        </is>
      </c>
      <c r="G37" s="38" t="inlineStr">
        <is>
          <t>Medium</t>
        </is>
      </c>
      <c r="H37" s="45" t="inlineStr">
        <is>
          <t>PASS</t>
        </is>
      </c>
      <c r="I37" s="39" t="inlineStr">
        <is>
          <t>2026-09-17: quick replies personalised from medical profile (asthma, Salbutamol, Penicillin allergy)</t>
        </is>
      </c>
    </row>
    <row r="38" ht="18" customHeight="1">
      <c r="A38" s="36" t="inlineStr">
        <is>
          <t xml:space="preserve">  PAYMENTS (STRIPE SANDBOX)</t>
        </is>
      </c>
    </row>
    <row r="39" ht="40" customHeight="1">
      <c r="A39" s="37" t="inlineStr">
        <is>
          <t>PAY-01</t>
        </is>
      </c>
      <c r="B39" s="44" t="inlineStr">
        <is>
          <t>Beyond SRS</t>
        </is>
      </c>
      <c r="C39" s="39" t="inlineStr">
        <is>
          <t>Payments</t>
        </is>
      </c>
      <c r="D39" s="39" t="inlineStr">
        <is>
          <t>Stripe card form opens quickly after tapping Pay</t>
        </is>
      </c>
      <c r="E39" s="39" t="inlineStr">
        <is>
          <t>Open checkout for a paid plan, wait a moment, tap Pay</t>
        </is>
      </c>
      <c r="F39" s="39" t="inlineStr">
        <is>
          <t>Card form ready within ~5 s on the emulator (no long spinner)</t>
        </is>
      </c>
      <c r="G39" s="38" t="inlineStr">
        <is>
          <t>High</t>
        </is>
      </c>
      <c r="H39" s="45" t="inlineStr">
        <is>
          <t>PASS</t>
        </is>
      </c>
      <c r="I39" s="39" t="inlineStr">
        <is>
          <t>2026-09-18: emulator — Pay tap to card form ~4.8 s (was ~9.5 s: intent + sheet now prepared when checkout opens, FlowController)</t>
        </is>
      </c>
    </row>
    <row r="40" ht="40" customHeight="1">
      <c r="A40" s="41" t="inlineStr">
        <is>
          <t>PAY-02</t>
        </is>
      </c>
      <c r="B40" s="46" t="inlineStr">
        <is>
          <t>Beyond SRS</t>
        </is>
      </c>
      <c r="C40" s="43" t="inlineStr">
        <is>
          <t>Payments</t>
        </is>
      </c>
      <c r="D40" s="43" t="inlineStr">
        <is>
          <t>Test card payment upgrades the plan</t>
        </is>
      </c>
      <c r="E40" s="43" t="inlineStr">
        <is>
          <t>Pay with 4242 4242 4242 4242, any future date, any CVC</t>
        </is>
      </c>
      <c r="F40" s="43" t="inlineStr">
        <is>
          <t>Payment successful screen with receipt; plan upgraded on the server</t>
        </is>
      </c>
      <c r="G40" s="42" t="inlineStr">
        <is>
          <t>Critical</t>
        </is>
      </c>
      <c r="H40" s="45" t="inlineStr">
        <is>
          <t>PASS</t>
        </is>
      </c>
      <c r="I40" s="43" t="inlineStr">
        <is>
          <t>2026-09-18: test card 4242 → "Payment successful" ~4.5 s after Continue; receipt shown; user plan FREE → PROFESSIONAL (demo reset after)</t>
        </is>
      </c>
    </row>
    <row r="41" ht="40" customHeight="1">
      <c r="A41" s="37" t="inlineStr">
        <is>
          <t>PAY-03</t>
        </is>
      </c>
      <c r="B41" s="44" t="inlineStr">
        <is>
          <t>Beyond SRS</t>
        </is>
      </c>
      <c r="C41" s="39" t="inlineStr">
        <is>
          <t>Payments</t>
        </is>
      </c>
      <c r="D41" s="39" t="inlineStr">
        <is>
          <t>Cancelling the payment sheet does not charge</t>
        </is>
      </c>
      <c r="E41" s="39" t="inlineStr">
        <is>
          <t>Open the sheet and close it</t>
        </is>
      </c>
      <c r="F41" s="39" t="inlineStr">
        <is>
          <t>Message: payment cancelled, not charged; Pay works again</t>
        </is>
      </c>
      <c r="G41" s="38" t="inlineStr">
        <is>
          <t>High</t>
        </is>
      </c>
      <c r="H41" s="45" t="inlineStr">
        <is>
          <t>PASS</t>
        </is>
      </c>
      <c r="I41" s="39" t="inlineStr">
        <is>
          <t>2026-09-18: closing the sheet shows "Payment cancelled. You have not been charged."; Pay again opens a fresh prepared sheet</t>
        </is>
      </c>
    </row>
    <row r="42" ht="18" customHeight="1">
      <c r="A42" s="36" t="inlineStr">
        <is>
          <t xml:space="preserve">  REGRESSION, RELEASE &amp; PERFORMANCE</t>
        </is>
      </c>
    </row>
    <row r="43" ht="40" customHeight="1">
      <c r="A43" s="37" t="inlineStr">
        <is>
          <t>REG-01</t>
        </is>
      </c>
      <c r="B43" s="38" t="inlineStr">
        <is>
          <t>NFR</t>
        </is>
      </c>
      <c r="C43" s="39" t="inlineStr">
        <is>
          <t>Regression</t>
        </is>
      </c>
      <c r="D43" s="39" t="inlineStr">
        <is>
          <t>Automated suites pass after all changes</t>
        </is>
      </c>
      <c r="E43" s="39" t="inlineStr">
        <is>
          <t>Run backend unit tests, type-check, privacy and call e2e, portal build, mobile analyzer</t>
        </is>
      </c>
      <c r="F43" s="39" t="inlineStr">
        <is>
          <t>All green</t>
        </is>
      </c>
      <c r="G43" s="38" t="inlineStr">
        <is>
          <t>Critical</t>
        </is>
      </c>
      <c r="H43" s="45" t="inlineStr">
        <is>
          <t>PASS</t>
        </is>
      </c>
      <c r="I43" s="39" t="inlineStr">
        <is>
          <t>2026-09-18: re-check after laptop reboot — backend unit 94/94, tsc clean, privacy e2e 35/35, call signalling e2e 23/23, portal build OK, mobile analyzer 0 errors</t>
        </is>
      </c>
    </row>
    <row r="44" ht="40" customHeight="1">
      <c r="A44" s="41" t="inlineStr">
        <is>
          <t>REG-02</t>
        </is>
      </c>
      <c r="B44" s="42" t="inlineStr">
        <is>
          <t>FR1</t>
        </is>
      </c>
      <c r="C44" s="43" t="inlineStr">
        <is>
          <t>Regression</t>
        </is>
      </c>
      <c r="D44" s="43" t="inlineStr">
        <is>
          <t>Full SOS cycle works end to end in the app</t>
        </is>
      </c>
      <c r="E44" s="43" t="inlineStr">
        <is>
          <t>Patient sends SOS, responder accepts, call, resolve</t>
        </is>
      </c>
      <c r="F44" s="43" t="inlineStr">
        <is>
          <t>Every step shown correctly; chat locked after resolve</t>
        </is>
      </c>
      <c r="G44" s="42" t="inlineStr">
        <is>
          <t>Critical</t>
        </is>
      </c>
      <c r="H44" s="45" t="inlineStr">
        <is>
          <t>PASS</t>
        </is>
      </c>
      <c r="I44" s="43" t="inlineStr">
        <is>
          <t>2026-09-18: app SOS on emulator → countdown → SOS active → responder assigned (ETA 1 min · 751 m, route) → in-app voice call connected (audio flowing) → resolved + rating screen → emergency chat locked</t>
        </is>
      </c>
    </row>
    <row r="45" ht="40" customHeight="1">
      <c r="A45" s="37" t="inlineStr">
        <is>
          <t>REG-03</t>
        </is>
      </c>
      <c r="B45" s="38" t="inlineStr">
        <is>
          <t>NFR</t>
        </is>
      </c>
      <c r="C45" s="39" t="inlineStr">
        <is>
          <t>Regression</t>
        </is>
      </c>
      <c r="D45" s="39" t="inlineStr">
        <is>
          <t>Every role still opens and main screens load</t>
        </is>
      </c>
      <c r="E45" s="39" t="inlineStr">
        <is>
          <t>Open responder, caregiver, Deaf patient and checkout</t>
        </is>
      </c>
      <c r="F45" s="39" t="inlineStr">
        <is>
          <t>Screens load without errors</t>
        </is>
      </c>
      <c r="G45" s="38" t="inlineStr">
        <is>
          <t>High</t>
        </is>
      </c>
      <c r="H45" s="45" t="inlineStr">
        <is>
          <t>PASS</t>
        </is>
      </c>
      <c r="I45" s="39" t="inlineStr">
        <is>
          <t>2026-09-18: responder, caregiver, Deaf patient home screens and checkout (sheet opens, cancel message) re-checked</t>
        </is>
      </c>
    </row>
    <row r="46" ht="40" customHeight="1">
      <c r="A46" s="41" t="inlineStr">
        <is>
          <t>PERF-04</t>
        </is>
      </c>
      <c r="B46" s="42" t="inlineStr">
        <is>
          <t>FR8.4</t>
        </is>
      </c>
      <c r="C46" s="43" t="inlineStr">
        <is>
          <t>Performance</t>
        </is>
      </c>
      <c r="D46" s="43" t="inlineStr">
        <is>
          <t>App reopens quickly from the background</t>
        </is>
      </c>
      <c r="E46" s="43" t="inlineStr">
        <is>
          <t>Put the app in background and open it again</t>
        </is>
      </c>
      <c r="F46" s="43" t="inlineStr">
        <is>
          <t>Visible within 1 s</t>
        </is>
      </c>
      <c r="G46" s="42" t="inlineStr">
        <is>
          <t>Medium</t>
        </is>
      </c>
      <c r="H46" s="45" t="inlineStr">
        <is>
          <t>PASS</t>
        </is>
      </c>
      <c r="I46" s="43" t="inlineStr">
        <is>
          <t>2026-09-18: warm start (app in background) 0.4–0.5 s</t>
        </is>
      </c>
    </row>
    <row r="47" ht="40" customHeight="1">
      <c r="A47" s="37" t="inlineStr">
        <is>
          <t>PERF-05</t>
        </is>
      </c>
      <c r="B47" s="38" t="inlineStr">
        <is>
          <t>FR8.4</t>
        </is>
      </c>
      <c r="C47" s="39" t="inlineStr">
        <is>
          <t>Performance</t>
        </is>
      </c>
      <c r="D47" s="39" t="inlineStr">
        <is>
          <t>App cold start time</t>
        </is>
      </c>
      <c r="E47" s="39" t="inlineStr">
        <is>
          <t>Force-stop the app and open it</t>
        </is>
      </c>
      <c r="F47" s="39" t="inlineStr">
        <is>
          <t>Home screen within ~5 s on a normal phone</t>
        </is>
      </c>
      <c r="G47" s="38" t="inlineStr">
        <is>
          <t>Medium</t>
        </is>
      </c>
      <c r="H47" s="47" t="inlineStr">
        <is>
          <t>FAIL</t>
        </is>
      </c>
      <c r="I47" s="39" t="inlineStr">
        <is>
          <t>2026-09-18: cold start 9.0–9.9 s on the emulator (profile build). Cause: app engine + background alert service engine start together. Stripe setup moved after first frame (no measurable change). To re-measure on a real phone</t>
        </is>
      </c>
    </row>
    <row r="48" ht="40" customHeight="1">
      <c r="A48" s="41" t="inlineStr">
        <is>
          <t>PERF-06</t>
        </is>
      </c>
      <c r="B48" s="42" t="inlineStr">
        <is>
          <t>NFR</t>
        </is>
      </c>
      <c r="C48" s="43" t="inlineStr">
        <is>
          <t>Performance</t>
        </is>
      </c>
      <c r="D48" s="43" t="inlineStr">
        <is>
          <t>Backend starts quickly for development and production</t>
        </is>
      </c>
      <c r="E48" s="43" t="inlineStr">
        <is>
          <t>Run npm run dev and npm start</t>
        </is>
      </c>
      <c r="F48" s="43" t="inlineStr">
        <is>
          <t>Ready within ~10 s; npm start runs the current build</t>
        </is>
      </c>
      <c r="G48" s="42" t="inlineStr">
        <is>
          <t>Low</t>
        </is>
      </c>
      <c r="H48" s="45" t="inlineStr">
        <is>
          <t>PASS</t>
        </is>
      </c>
      <c r="I48" s="43" t="inlineStr">
        <is>
          <t>2026-09-18: backend dev start 29.5 s → 7.3 s (ts-node transpile-only); npm start 3.1 s and now runs the current build (was an April build)</t>
        </is>
      </c>
    </row>
    <row r="49" ht="40" customHeight="1">
      <c r="A49" s="37" t="inlineStr">
        <is>
          <t>REL-01</t>
        </is>
      </c>
      <c r="B49" s="38" t="inlineStr">
        <is>
          <t>NFR</t>
        </is>
      </c>
      <c r="C49" s="39" t="inlineStr">
        <is>
          <t>Release</t>
        </is>
      </c>
      <c r="D49" s="39" t="inlineStr">
        <is>
          <t>Release APK builds</t>
        </is>
      </c>
      <c r="E49" s="39" t="inlineStr">
        <is>
          <t>flutter build apk --release --split-per-abi</t>
        </is>
      </c>
      <c r="F49" s="39" t="inlineStr">
        <is>
          <t>APKs produced without R8 errors</t>
        </is>
      </c>
      <c r="G49" s="38" t="inlineStr">
        <is>
          <t>High</t>
        </is>
      </c>
      <c r="H49" s="45" t="inlineStr">
        <is>
          <t>PASS</t>
        </is>
      </c>
      <c r="I49" s="39" t="inlineStr">
        <is>
          <t>2026-09-18: release APK builds (was failing in R8 on Stripe push-provisioning classes; keep-rule added). arm64 APK 47 MB</t>
        </is>
      </c>
    </row>
    <row r="50" ht="40" customHeight="1">
      <c r="A50" s="41" t="inlineStr">
        <is>
          <t>REL-02</t>
        </is>
      </c>
      <c r="B50" s="42" t="inlineStr">
        <is>
          <t>NFR</t>
        </is>
      </c>
      <c r="C50" s="43" t="inlineStr">
        <is>
          <t>Release</t>
        </is>
      </c>
      <c r="D50" s="43" t="inlineStr">
        <is>
          <t>Release APK runs</t>
        </is>
      </c>
      <c r="E50" s="43" t="inlineStr">
        <is>
          <t>Install the release APK and open it</t>
        </is>
      </c>
      <c r="F50" s="43" t="inlineStr">
        <is>
          <t>Login screen, no crash</t>
        </is>
      </c>
      <c r="G50" s="42" t="inlineStr">
        <is>
          <t>High</t>
        </is>
      </c>
      <c r="H50" s="45" t="inlineStr">
        <is>
          <t>PASS</t>
        </is>
      </c>
      <c r="I50" s="43" t="inlineStr">
        <is>
          <t>2026-09-18: release x86_64 APK installed on emulator, launches to the login screen without crashes</t>
        </is>
      </c>
    </row>
    <row r="51" ht="40" customHeight="1">
      <c r="A51" s="37" t="inlineStr">
        <is>
          <t>REL-03</t>
        </is>
      </c>
      <c r="B51" s="38" t="inlineStr">
        <is>
          <t>NFR</t>
        </is>
      </c>
      <c r="C51" s="39" t="inlineStr">
        <is>
          <t>Release</t>
        </is>
      </c>
      <c r="D51" s="39" t="inlineStr">
        <is>
          <t>Release APK works on a real phone over Wi-Fi</t>
        </is>
      </c>
      <c r="E51" s="39" t="inlineStr">
        <is>
          <t>Phone on the same Wi-Fi as the laptop backend; log in and use SOS</t>
        </is>
      </c>
      <c r="F51" s="39" t="inlineStr">
        <is>
          <t>App connects and works</t>
        </is>
      </c>
      <c r="G51" s="38" t="inlineStr">
        <is>
          <t>High</t>
        </is>
      </c>
      <c r="H51" s="40" t="inlineStr">
        <is>
          <t>PENDING</t>
        </is>
      </c>
      <c r="I51" s="39" t="inlineStr">
        <is>
          <t>Phone APK built for http://192.168.100.5:3000 (backend answers on that IP); to be installed and logged in on the real phone</t>
        </is>
      </c>
    </row>
    <row r="52" ht="18" customHeight="1">
      <c r="A52" s="36" t="inlineStr">
        <is>
          <t xml:space="preserve">  WEB PORTAL LANDING PAGE</t>
        </is>
      </c>
    </row>
    <row r="53" ht="50" customHeight="1">
      <c r="A53" s="37" t="inlineStr">
        <is>
          <t>WEB-01</t>
        </is>
      </c>
      <c r="B53" s="44" t="inlineStr">
        <is>
          <t>Beyond SRS</t>
        </is>
      </c>
      <c r="C53" s="39" t="inlineStr">
        <is>
          <t>Landing</t>
        </is>
      </c>
      <c r="D53" s="39" t="inlineStr">
        <is>
          <t>Animated background matches the app’s purpose and keeps text readable</t>
        </is>
      </c>
      <c r="E53" s="39" t="inlineStr">
        <is>
          <t>Open the landing page</t>
        </is>
      </c>
      <c r="F53" s="39" t="inlineStr">
        <is>
          <t>Map/route/pulse/heartbeat effects; headline readable; off with reduced motion</t>
        </is>
      </c>
      <c r="G53" s="38" t="inlineStr">
        <is>
          <t>Low</t>
        </is>
      </c>
      <c r="H53" s="45" t="inlineStr">
        <is>
          <t>PASS</t>
        </is>
      </c>
      <c r="I53" s="39" t="inlineStr">
        <is>
          <t>2026-09-18: landing hero animated background (grid, routes, riding dots, pulse rings, ECG) faded behind the headline; section glows; trust band sweep</t>
        </is>
      </c>
    </row>
    <row r="54" ht="40" customHeight="1">
      <c r="A54" s="41" t="inlineStr">
        <is>
          <t>WEB-02</t>
        </is>
      </c>
      <c r="B54" s="46" t="inlineStr">
        <is>
          <t>Beyond SRS</t>
        </is>
      </c>
      <c r="C54" s="43" t="inlineStr">
        <is>
          <t>Landing</t>
        </is>
      </c>
      <c r="D54" s="43" t="inlineStr">
        <is>
          <t>Interactive elements respond on hover</t>
        </is>
      </c>
      <c r="E54" s="43" t="inlineStr">
        <is>
          <t>Hover cards, steps, FAQ, buttons, links</t>
        </is>
      </c>
      <c r="F54" s="43" t="inlineStr">
        <is>
          <t>Visible hover state on each</t>
        </is>
      </c>
      <c r="G54" s="42" t="inlineStr">
        <is>
          <t>Low</t>
        </is>
      </c>
      <c r="H54" s="45" t="inlineStr">
        <is>
          <t>PASS</t>
        </is>
      </c>
      <c r="I54" s="43" t="inlineStr">
        <is>
          <t>2026-09-18: hover verified with mouse events — card lift + teal border, step slide, FAQ shadow, secondary button tint, trust card brighten</t>
        </is>
      </c>
    </row>
    <row r="55" ht="40" customHeight="1">
      <c r="A55" s="37" t="inlineStr">
        <is>
          <t>WEB-03</t>
        </is>
      </c>
      <c r="B55" s="44" t="inlineStr">
        <is>
          <t>Beyond SRS</t>
        </is>
      </c>
      <c r="C55" s="39" t="inlineStr">
        <is>
          <t>Landing</t>
        </is>
      </c>
      <c r="D55" s="39" t="inlineStr">
        <is>
          <t>Icons match their headings</t>
        </is>
      </c>
      <c r="E55" s="39" t="inlineStr">
        <is>
          <t>Review every icon with its heading</t>
        </is>
      </c>
      <c r="F55" s="39" t="inlineStr">
        <is>
          <t>Each icon fits its topic</t>
        </is>
      </c>
      <c r="G55" s="38" t="inlineStr">
        <is>
          <t>Low</t>
        </is>
      </c>
      <c r="H55" s="45" t="inlineStr">
        <is>
          <t>PASS</t>
        </is>
      </c>
      <c r="I55" s="39" t="inlineStr">
        <is>
          <t>2026-09-18: icons match headings (EarOff for Deaf, Ambulance for responders, MicOff, LocateFixed, ClipboardPlus, ScrollText …)</t>
        </is>
      </c>
    </row>
    <row r="56" ht="40" customHeight="1">
      <c r="A56" s="41" t="inlineStr">
        <is>
          <t>WEB-04</t>
        </is>
      </c>
      <c r="B56" s="46" t="inlineStr">
        <is>
          <t>Beyond SRS</t>
        </is>
      </c>
      <c r="C56" s="43" t="inlineStr">
        <is>
          <t>Landing</t>
        </is>
      </c>
      <c r="D56" s="43" t="inlineStr">
        <is>
          <t>Mockups use the real app look</t>
        </is>
      </c>
      <c r="E56" s="43" t="inlineStr">
        <is>
          <t>View the tracking mockup</t>
        </is>
      </c>
      <c r="F56" s="43" t="inlineStr">
        <is>
          <t>App mascot on the route; no filler captions</t>
        </is>
      </c>
      <c r="G56" s="42" t="inlineStr">
        <is>
          <t>Low</t>
        </is>
      </c>
      <c r="H56" s="45" t="inlineStr">
        <is>
          <t>PASS</t>
        </is>
      </c>
      <c r="I56" s="43" t="inlineStr">
        <is>
          <t>2026-09-18: tracking mockup uses the app mascot (turns along the route, siren flashes); "App preview" captions removed</t>
        </is>
      </c>
    </row>
    <row r="57" ht="40" customHeight="1">
      <c r="A57" s="37" t="inlineStr">
        <is>
          <t>WEB-05</t>
        </is>
      </c>
      <c r="B57" s="44" t="inlineStr">
        <is>
          <t>Beyond SRS</t>
        </is>
      </c>
      <c r="C57" s="39" t="inlineStr">
        <is>
          <t>Landing</t>
        </is>
      </c>
      <c r="D57" s="39" t="inlineStr">
        <is>
          <t>Footer is organised and branded</t>
        </is>
      </c>
      <c r="E57" s="39" t="inlineStr">
        <is>
          <t>View the footer</t>
        </is>
      </c>
      <c r="F57" s="39" t="inlineStr">
        <is>
          <t>Header-style logo; grouped links; legal links at the bottom</t>
        </is>
      </c>
      <c r="G57" s="38" t="inlineStr">
        <is>
          <t>Low</t>
        </is>
      </c>
      <c r="H57" s="45" t="inlineStr">
        <is>
          <t>PASS</t>
        </is>
      </c>
      <c r="I57" s="39" t="inlineStr">
        <is>
          <t>2026-09-18: footer logo = header logo on white badge; links organised Product / Who it’s for / Support; legal links in bottom row</t>
        </is>
      </c>
    </row>
    <row r="58" ht="18" customHeight="1">
      <c r="A58" s="36" t="inlineStr">
        <is>
          <t xml:space="preserve">  ADMIN CONSOLE UPDATES</t>
        </is>
      </c>
    </row>
    <row r="59" ht="40" customHeight="1">
      <c r="A59" s="37" t="inlineStr">
        <is>
          <t>ADM-01</t>
        </is>
      </c>
      <c r="B59" s="38" t="inlineStr">
        <is>
          <t>FR10</t>
        </is>
      </c>
      <c r="C59" s="39" t="inlineStr">
        <is>
          <t>Admin</t>
        </is>
      </c>
      <c r="D59" s="39" t="inlineStr">
        <is>
          <t>Branded admin sign-in page</t>
        </is>
      </c>
      <c r="E59" s="39" t="inlineStr">
        <is>
          <t>Open /login on desktop and mobile</t>
        </is>
      </c>
      <c r="F59" s="39" t="inlineStr">
        <is>
          <t>Brand panel + form; animations; works on mobile</t>
        </is>
      </c>
      <c r="G59" s="38" t="inlineStr">
        <is>
          <t>Low</t>
        </is>
      </c>
      <c r="H59" s="45" t="inlineStr">
        <is>
          <t>PASS</t>
        </is>
      </c>
      <c r="I59" s="39" t="inlineStr">
        <is>
          <t>2026-09-18: admin sign-in page split layout (brand panel + form), animated map backdrop on both sides, compact header on mobile; sign-in logic unchanged</t>
        </is>
      </c>
    </row>
    <row r="60" ht="40" customHeight="1">
      <c r="A60" s="41" t="inlineStr">
        <is>
          <t>ADM-02</t>
        </is>
      </c>
      <c r="B60" s="42" t="inlineStr">
        <is>
          <t>FR10</t>
        </is>
      </c>
      <c r="C60" s="43" t="inlineStr">
        <is>
          <t>Admin</t>
        </is>
      </c>
      <c r="D60" s="43" t="inlineStr">
        <is>
          <t>Maps follow dark mode</t>
        </is>
      </c>
      <c r="E60" s="43" t="inlineStr">
        <is>
          <t>Switch the admin theme to dark and open Overview and SOS Logistics</t>
        </is>
      </c>
      <c r="F60" s="43" t="inlineStr">
        <is>
          <t>Dark map tiles, no watermark</t>
        </is>
      </c>
      <c r="G60" s="42" t="inlineStr">
        <is>
          <t>Low</t>
        </is>
      </c>
      <c r="H60" s="45" t="inlineStr">
        <is>
          <t>PASS</t>
        </is>
      </c>
      <c r="I60" s="43" t="inlineStr">
        <is>
          <t>2026-09-18: Overview and SOS Logistics maps use dark tiles in dark mode (filtered OSM, no API key) and light OSM in light mode</t>
        </is>
      </c>
    </row>
    <row r="61" ht="40" customHeight="1">
      <c r="A61" s="37" t="inlineStr">
        <is>
          <t>ADM-03</t>
        </is>
      </c>
      <c r="B61" s="38" t="inlineStr">
        <is>
          <t>FR10</t>
        </is>
      </c>
      <c r="C61" s="39" t="inlineStr">
        <is>
          <t>Admin</t>
        </is>
      </c>
      <c r="D61" s="39" t="inlineStr">
        <is>
          <t>User details open in a centred dialog</t>
        </is>
      </c>
      <c r="E61" s="39" t="inlineStr">
        <is>
          <t>Click a user in User Management</t>
        </is>
      </c>
      <c r="F61" s="39" t="inlineStr">
        <is>
          <t>Centred dialog with full details</t>
        </is>
      </c>
      <c r="G61" s="38" t="inlineStr">
        <is>
          <t>Low</t>
        </is>
      </c>
      <c r="H61" s="45" t="inlineStr">
        <is>
          <t>PASS</t>
        </is>
      </c>
      <c r="I61" s="39" t="inlineStr">
        <is>
          <t>2026-09-18: user details open as a centred dialog (light and dark), Escape/outside click close it</t>
        </is>
      </c>
    </row>
    <row r="62" ht="40" customHeight="1">
      <c r="A62" s="41" t="inlineStr">
        <is>
          <t>ADM-04</t>
        </is>
      </c>
      <c r="B62" s="42" t="inlineStr">
        <is>
          <t>FR10</t>
        </is>
      </c>
      <c r="C62" s="43" t="inlineStr">
        <is>
          <t>Admin</t>
        </is>
      </c>
      <c r="D62" s="43" t="inlineStr">
        <is>
          <t>Header search only navigates to real matches</t>
        </is>
      </c>
      <c r="E62" s="43" t="inlineStr">
        <is>
          <t>Type random text, a page keyword and a user name; press Enter</t>
        </is>
      </c>
      <c r="F62" s="43" t="inlineStr">
        <is>
          <t>Random text stays with a no-match message; matches open</t>
        </is>
      </c>
      <c r="G62" s="42" t="inlineStr">
        <is>
          <t>Medium</t>
        </is>
      </c>
      <c r="H62" s="45" t="inlineStr">
        <is>
          <t>PASS</t>
        </is>
      </c>
      <c r="I62" s="43" t="inlineStr">
        <is>
          <t>2026-09-18: header search — random text shows "No pages or users match" and stays; "map" → SOS Logistics; "bilal" → user; ↑/↓ + Enter opens highlighted result</t>
        </is>
      </c>
    </row>
    <row r="63" ht="40" customHeight="1">
      <c r="A63" s="37" t="inlineStr">
        <is>
          <t>ADM-05</t>
        </is>
      </c>
      <c r="B63" s="38" t="inlineStr">
        <is>
          <t>NFR</t>
        </is>
      </c>
      <c r="C63" s="39" t="inlineStr">
        <is>
          <t>Admin</t>
        </is>
      </c>
      <c r="D63" s="39" t="inlineStr">
        <is>
          <t>Unknown URLs show a 404 page</t>
        </is>
      </c>
      <c r="E63" s="39" t="inlineStr">
        <is>
          <t>Open a wrong public URL and a wrong /admin URL</t>
        </is>
      </c>
      <c r="F63" s="39" t="inlineStr">
        <is>
          <t>Branded 404 pages</t>
        </is>
      </c>
      <c r="G63" s="38" t="inlineStr">
        <is>
          <t>Low</t>
        </is>
      </c>
      <c r="H63" s="45" t="inlineStr">
        <is>
          <t>PASS</t>
        </is>
      </c>
      <c r="I63" s="39" t="inlineStr">
        <is>
          <t>2026-09-18: wrong URLs show 404 — public /kuch-bhi-galat and admin /admin/galat-page</t>
        </is>
      </c>
    </row>
    <row r="64" ht="50" customHeight="1">
      <c r="A64" s="41" t="inlineStr">
        <is>
          <t>CALL-12</t>
        </is>
      </c>
      <c r="B64" s="46" t="inlineStr">
        <is>
          <t>Beyond SRS</t>
        </is>
      </c>
      <c r="C64" s="43" t="inlineStr">
        <is>
          <t>Admin</t>
        </is>
      </c>
      <c r="D64" s="43" t="inlineStr">
        <is>
          <t>Admin can review emergency call records</t>
        </is>
      </c>
      <c r="E64" s="43" t="inlineStr">
        <is>
          <t>Make responder ↔ patient/caregiver calls, open Communication &gt; Call Records</t>
        </is>
      </c>
      <c r="F64" s="43" t="inlineStr">
        <is>
          <t>Each call listed with outcome and duration; family calls not shown; no audio stored</t>
        </is>
      </c>
      <c r="G64" s="42" t="inlineStr">
        <is>
          <t>Medium</t>
        </is>
      </c>
      <c r="H64" s="45" t="inlineStr">
        <is>
          <t>PASS</t>
        </is>
      </c>
      <c r="I64" s="43" t="inlineStr">
        <is>
          <t>2026-09-18: Call Records page lists responder ↔ patient/caregiver calls (4 test calls: 3 completed, 1 not connected) with duration, outcome, end reason and emergency; patient ↔ caregiver calls excluded; non-admin gets 401</t>
        </is>
      </c>
    </row>
    <row r="65" ht="18" customHeight="1">
      <c r="A65" s="36" t="inlineStr">
        <is>
          <t xml:space="preserve">  LAYOUT &amp; ORIENTATION</t>
        </is>
      </c>
    </row>
    <row r="66" ht="40" customHeight="1">
      <c r="A66" s="37" t="inlineStr">
        <is>
          <t>UX-01</t>
        </is>
      </c>
      <c r="B66" s="38" t="inlineStr">
        <is>
          <t>NFR</t>
        </is>
      </c>
      <c r="C66" s="39" t="inlineStr">
        <is>
          <t>Usability</t>
        </is>
      </c>
      <c r="D66" s="39" t="inlineStr">
        <is>
          <t>App stays in portrait when the phone is rotated</t>
        </is>
      </c>
      <c r="E66" s="39" t="inlineStr">
        <is>
          <t>Open the responder dashboard and rotate the phone</t>
        </is>
      </c>
      <c r="F66" s="39" t="inlineStr">
        <is>
          <t>Screen stays portrait; nothing squeezed or cut off</t>
        </is>
      </c>
      <c r="G66" s="38" t="inlineStr">
        <is>
          <t>High</t>
        </is>
      </c>
      <c r="H66" s="45" t="inlineStr">
        <is>
          <t>PASS</t>
        </is>
      </c>
      <c r="I66" s="39" t="inlineStr">
        <is>
          <t>2026-09-18: responder app on emulator rotated to landscape stays portrait (before: dashboard squeezed into a strip)</t>
        </is>
      </c>
    </row>
    <row r="67" ht="50" customHeight="1">
      <c r="A67" s="41" t="inlineStr">
        <is>
          <t>UX-02</t>
        </is>
      </c>
      <c r="B67" s="42" t="inlineStr">
        <is>
          <t>NFR</t>
        </is>
      </c>
      <c r="C67" s="43" t="inlineStr">
        <is>
          <t>Usability</t>
        </is>
      </c>
      <c r="D67" s="43" t="inlineStr">
        <is>
          <t>On a tablet or wide screen the app is centred, not stretched or stuck to one side</t>
        </is>
      </c>
      <c r="E67" s="43" t="inlineStr">
        <is>
          <t>Open the app on a tablet (or web/desktop)</t>
        </is>
      </c>
      <c r="F67" s="43" t="inlineStr">
        <is>
          <t>App shown as a centred column with even margins</t>
        </is>
      </c>
      <c r="G67" s="42" t="inlineStr">
        <is>
          <t>Medium</t>
        </is>
      </c>
      <c r="H67" s="45" t="inlineStr">
        <is>
          <t>PASS</t>
        </is>
      </c>
      <c r="I67" s="43" t="inlineStr">
        <is>
          <t>2026-09-18: emulator resized to 1600x2560 tablet, portrait and landscape: centred 600dp column, no stretched or one-sided layout</t>
        </is>
      </c>
    </row>
    <row r="68" ht="50" customHeight="1">
      <c r="A68" s="37" t="inlineStr">
        <is>
          <t>UX-04</t>
        </is>
      </c>
      <c r="B68" s="44" t="inlineStr">
        <is>
          <t>Beyond SRS</t>
        </is>
      </c>
      <c r="C68" s="39" t="inlineStr">
        <is>
          <t>Payments</t>
        </is>
      </c>
      <c r="D68" s="39" t="inlineStr">
        <is>
          <t>Checkout shows clear progress and a Stripe sheet in MediFind style</t>
        </is>
      </c>
      <c r="E68" s="39" t="inlineStr">
        <is>
          <t>Tap Pay on checkout</t>
        </is>
      </c>
      <c r="F68" s="39" t="inlineStr">
        <is>
          <t>Button says Opening secure payment…; sheet uses app colours and says Pay PKR …</t>
        </is>
      </c>
      <c r="G68" s="38" t="inlineStr">
        <is>
          <t>Medium</t>
        </is>
      </c>
      <c r="H68" s="45" t="inlineStr">
        <is>
          <t>PASS</t>
        </is>
      </c>
      <c r="I68" s="39" t="inlineStr">
        <is>
          <t>2026-09-18: Pay shows "Opening secure payment…" then "Confirming payment…"; Stripe sheet in app colours (light) with "Pay PKR 499" button</t>
        </is>
      </c>
    </row>
    <row r="69" ht="50" customHeight="1">
      <c r="A69" s="41" t="inlineStr">
        <is>
          <t>UX-05</t>
        </is>
      </c>
      <c r="B69" s="42" t="inlineStr">
        <is>
          <t>FR6.2</t>
        </is>
      </c>
      <c r="C69" s="43" t="inlineStr">
        <is>
          <t>Tracking</t>
        </is>
      </c>
      <c r="D69" s="43" t="inlineStr">
        <is>
          <t>Unrealistic GPS distance is not shown as an ETA</t>
        </is>
      </c>
      <c r="E69" s="43" t="inlineStr">
        <is>
          <t>Responder phone reports a location hundreds of km away</t>
        </is>
      </c>
      <c r="F69" s="43" t="inlineStr">
        <is>
          <t>Shows Locating / Waiting for GPS; no route line; map stays on the patient</t>
        </is>
      </c>
      <c r="G69" s="42" t="inlineStr">
        <is>
          <t>High</t>
        </is>
      </c>
      <c r="H69" s="45" t="inlineStr">
        <is>
          <t>PASS</t>
        </is>
      </c>
      <c r="I69" s="43" t="inlineStr">
        <is>
          <t>2026-09-18: responder GPS set to California: "Locating you / Waiting for GPS", no route line, camera on patient (was "17913 min, 11941 km"); back to Lahore: marker placed directly, "2 min · 1.3 km", normal zoom</t>
        </is>
      </c>
    </row>
    <row r="70" ht="40" customHeight="1">
      <c r="A70" s="37" t="inlineStr">
        <is>
          <t>UX-06</t>
        </is>
      </c>
      <c r="B70" s="38" t="inlineStr">
        <is>
          <t>NFR</t>
        </is>
      </c>
      <c r="C70" s="39" t="inlineStr">
        <is>
          <t>Usability</t>
        </is>
      </c>
      <c r="D70" s="39" t="inlineStr">
        <is>
          <t>Maps show a loading state instead of a blank box</t>
        </is>
      </c>
      <c r="E70" s="39" t="inlineStr">
        <is>
          <t>Open a tracking screen</t>
        </is>
      </c>
      <c r="F70" s="39" t="inlineStr">
        <is>
          <t>Loading map… until the map appears</t>
        </is>
      </c>
      <c r="G70" s="38" t="inlineStr">
        <is>
          <t>Low</t>
        </is>
      </c>
      <c r="H70" s="45" t="inlineStr">
        <is>
          <t>PASS</t>
        </is>
      </c>
      <c r="I70" s="39" t="inlineStr">
        <is>
          <t>2026-09-18: responder / patient / caregiver tracking maps show "Loading map…" until the map is ready (was a blank grey box)</t>
        </is>
      </c>
    </row>
    <row r="71" ht="40" customHeight="1">
      <c r="A71" s="41" t="inlineStr">
        <is>
          <t>UX-07</t>
        </is>
      </c>
      <c r="B71" s="42" t="inlineStr">
        <is>
          <t>FR3.1</t>
        </is>
      </c>
      <c r="C71" s="43" t="inlineStr">
        <is>
          <t>Accessibility</t>
        </is>
      </c>
      <c r="D71" s="43" t="inlineStr">
        <is>
          <t>Deaf quick phrases are fully readable on the home screen</t>
        </is>
      </c>
      <c r="E71" s="43" t="inlineStr">
        <is>
          <t>Open the Deaf patient home screen</t>
        </is>
      </c>
      <c r="F71" s="43" t="inlineStr">
        <is>
          <t>Each phrase shown in full, wrapping onto lines</t>
        </is>
      </c>
      <c r="G71" s="42" t="inlineStr">
        <is>
          <t>Medium</t>
        </is>
      </c>
      <c r="H71" s="45" t="inlineStr">
        <is>
          <t>PASS</t>
        </is>
      </c>
      <c r="I71" s="43" t="inlineStr">
        <is>
          <t>2026-09-18: Deaf home quick phrases wrap onto lines and are fully readable (was cut off "I am de…")</t>
        </is>
      </c>
    </row>
    <row r="72" ht="40" customHeight="1">
      <c r="A72" s="37" t="inlineStr">
        <is>
          <t>UX-03</t>
        </is>
      </c>
      <c r="B72" s="38" t="inlineStr">
        <is>
          <t>NFR</t>
        </is>
      </c>
      <c r="C72" s="39" t="inlineStr">
        <is>
          <t>Branding</t>
        </is>
      </c>
      <c r="D72" s="39" t="inlineStr">
        <is>
          <t>The same MediFind logo is used in the mobile app and the web portal</t>
        </is>
      </c>
      <c r="E72" s="39" t="inlineStr">
        <is>
          <t>Compare app launcher, splash, headers with portal sidebar, login, landing, 404, legal, favicon</t>
        </is>
      </c>
      <c r="F72" s="39" t="inlineStr">
        <is>
          <t>One consistent logo everywhere</t>
        </is>
      </c>
      <c r="G72" s="38" t="inlineStr">
        <is>
          <t>Medium</t>
        </is>
      </c>
      <c r="H72" s="45" t="inlineStr">
        <is>
          <t>PASS</t>
        </is>
      </c>
      <c r="I72" s="39" t="inlineStr">
        <is>
          <t>2026-09-18: portal sidebar, login, landing, 404, legal and favicon use the same pin-with-rings logo as the mobile app</t>
        </is>
      </c>
    </row>
  </sheetData>
  <mergeCells count="11">
    <mergeCell ref="A15:I15"/>
    <mergeCell ref="A52:I52"/>
    <mergeCell ref="A65:I65"/>
    <mergeCell ref="A11:I11"/>
    <mergeCell ref="A42:I42"/>
    <mergeCell ref="A32:I32"/>
    <mergeCell ref="A1:I1"/>
    <mergeCell ref="A3:I3"/>
    <mergeCell ref="A58:I58"/>
    <mergeCell ref="A20:I20"/>
    <mergeCell ref="A38:I38"/>
  </mergeCells>
  <conditionalFormatting sqref="H4:H7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7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5" t="inlineStr">
        <is>
          <t>PASS</t>
        </is>
      </c>
      <c r="I4" s="39" t="inlineStr">
        <is>
          <t>2026-09-18: admin sign-in page split layout (brand panel + form), animated map backdrop on both sides, compact header on mobile; sign-in logic unchanged</t>
        </is>
      </c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2026-09-18: Overview and SOS Logistics maps use dark tiles in dark mode (filtered OSM, no API key) and light OSM in light mode</t>
        </is>
      </c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5" t="inlineStr">
        <is>
          <t>PASS</t>
        </is>
      </c>
      <c r="I6" s="39" t="inlineStr">
        <is>
          <t>2026-09-18: user details open as a centred dialog (light and dark), Escape/outside click close it</t>
        </is>
      </c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2026-09-18: header search — random text shows "No pages or users match" and stays; "map" → SOS Logistics; "bilal" → user; ↑/↓ + Enter opens highlighted result</t>
        </is>
      </c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5" t="inlineStr">
        <is>
          <t>PASS</t>
        </is>
      </c>
      <c r="I9" s="43" t="inlineStr">
        <is>
          <t>2026-09-18: wrong URLs show 404 — public /kuch-bhi-galat and admin /admin/galat-page</t>
        </is>
      </c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8" t="inlineStr">
        <is>
          <t>Test ID</t>
        </is>
      </c>
      <c r="B2" s="48" t="inlineStr">
        <is>
          <t>Type</t>
        </is>
      </c>
      <c r="C2" s="48" t="inlineStr">
        <is>
          <t>Change</t>
        </is>
      </c>
      <c r="D2" s="48" t="inlineStr">
        <is>
          <t>Reason</t>
        </is>
      </c>
    </row>
    <row r="3">
      <c r="A3" s="49" t="inlineStr">
        <is>
          <t>AUTH-01</t>
        </is>
      </c>
      <c r="B3" s="49" t="inlineStr">
        <is>
          <t>Updated</t>
        </is>
      </c>
      <c r="C3" s="49" t="inlineStr">
        <is>
          <t>Description / steps / expected result corrected</t>
        </is>
      </c>
      <c r="D3" s="49" t="inlineStr">
        <is>
          <t>Patients provide a CNIC number; only responders upload document photos. Verification is by email OTP.</t>
        </is>
      </c>
    </row>
    <row r="4">
      <c r="A4" s="49" t="inlineStr">
        <is>
          <t>AUTH-03</t>
        </is>
      </c>
      <c r="B4" s="49" t="inlineStr">
        <is>
          <t>Updated</t>
        </is>
      </c>
      <c r="C4" s="49" t="inlineStr">
        <is>
          <t>Description / steps / expected result corrected</t>
        </is>
      </c>
      <c r="D4" s="49" t="inlineStr">
        <is>
          <t>Responder application requires CNIC front/back, employee card, driving licence and motorbike documents.</t>
        </is>
      </c>
    </row>
    <row r="5">
      <c r="A5" s="49" t="inlineStr">
        <is>
          <t>AUTH-04</t>
        </is>
      </c>
      <c r="B5" s="49" t="inlineStr">
        <is>
          <t>Updated</t>
        </is>
      </c>
      <c r="C5" s="49" t="inlineStr">
        <is>
          <t>Description / steps / expected result corrected</t>
        </is>
      </c>
      <c r="D5" s="49" t="inlineStr">
        <is>
          <t>Caregiver–patient linking is done after login by email invitation (supports many-to-many, FR7.2).</t>
        </is>
      </c>
    </row>
    <row r="6">
      <c r="A6" s="49" t="inlineStr">
        <is>
          <t>AUTH-05</t>
        </is>
      </c>
      <c r="B6" s="49" t="inlineStr">
        <is>
          <t>Updated</t>
        </is>
      </c>
      <c r="C6" s="49" t="inlineStr">
        <is>
          <t>Description / steps / expected result corrected</t>
        </is>
      </c>
      <c r="D6" s="49" t="inlineStr">
        <is>
          <t>Matches the actual server message.</t>
        </is>
      </c>
    </row>
    <row r="7">
      <c r="A7" s="49" t="inlineStr">
        <is>
          <t>AUTH-08</t>
        </is>
      </c>
      <c r="B7" s="49" t="inlineStr">
        <is>
          <t>Updated</t>
        </is>
      </c>
      <c r="C7" s="49" t="inlineStr">
        <is>
          <t>Description / steps / expected result corrected</t>
        </is>
      </c>
      <c r="D7" s="49" t="inlineStr">
        <is>
          <t>Matches the actual server message and lockout warning.</t>
        </is>
      </c>
    </row>
    <row r="8">
      <c r="A8" s="49" t="inlineStr">
        <is>
          <t>AUTH-09</t>
        </is>
      </c>
      <c r="B8" s="49" t="inlineStr">
        <is>
          <t>Updated</t>
        </is>
      </c>
      <c r="C8" s="49" t="inlineStr">
        <is>
          <t>Description / steps / expected result corrected</t>
        </is>
      </c>
      <c r="D8" s="49" t="inlineStr">
        <is>
          <t>Matches the actual server message.</t>
        </is>
      </c>
    </row>
    <row r="9">
      <c r="A9" s="49" t="inlineStr">
        <is>
          <t>SOS-01</t>
        </is>
      </c>
      <c r="B9" s="49" t="inlineStr">
        <is>
          <t>Updated</t>
        </is>
      </c>
      <c r="C9" s="49" t="inlineStr">
        <is>
          <t>Description / steps / expected result corrected</t>
        </is>
      </c>
      <c r="D9" s="49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9" t="inlineStr">
        <is>
          <t>SOS-03</t>
        </is>
      </c>
      <c r="B10" s="49" t="inlineStr">
        <is>
          <t>Updated</t>
        </is>
      </c>
      <c r="C10" s="49" t="inlineStr">
        <is>
          <t>Description / steps / expected result corrected</t>
        </is>
      </c>
      <c r="D10" s="49" t="inlineStr">
        <is>
          <t>Countdown cancellation must not create any server record (SRS FR4.3).</t>
        </is>
      </c>
    </row>
    <row r="11">
      <c r="A11" s="49" t="inlineStr">
        <is>
          <t>SOS-04</t>
        </is>
      </c>
      <c r="B11" s="49" t="inlineStr">
        <is>
          <t>Updated</t>
        </is>
      </c>
      <c r="C11" s="49" t="inlineStr">
        <is>
          <t>Description / steps / expected result corrected</t>
        </is>
      </c>
      <c r="D11" s="49" t="inlineStr">
        <is>
          <t>The app must never send a default/fake location.</t>
        </is>
      </c>
    </row>
    <row r="12">
      <c r="A12" s="49" t="inlineStr">
        <is>
          <t>SOS-06</t>
        </is>
      </c>
      <c r="B12" s="49" t="inlineStr">
        <is>
          <t>Updated</t>
        </is>
      </c>
      <c r="C12" s="49" t="inlineStr">
        <is>
          <t>Description / steps / expected result corrected</t>
        </is>
      </c>
      <c r="D12" s="49" t="inlineStr">
        <is>
          <t>Timeline includes Resolved.</t>
        </is>
      </c>
    </row>
    <row r="13">
      <c r="A13" s="49" t="inlineStr">
        <is>
          <t>RSP-01</t>
        </is>
      </c>
      <c r="B13" s="49" t="inlineStr">
        <is>
          <t>Updated</t>
        </is>
      </c>
      <c r="C13" s="49" t="inlineStr">
        <is>
          <t>Description / steps / expected result corrected</t>
        </is>
      </c>
      <c r="D13" s="49" t="inlineStr">
        <is>
          <t>Dispatch radius is 10 km and push arrives with the app closed (self-hosted push).</t>
        </is>
      </c>
    </row>
    <row r="14">
      <c r="A14" s="49" t="inlineStr">
        <is>
          <t>RSP-02</t>
        </is>
      </c>
      <c r="B14" s="49" t="inlineStr">
        <is>
          <t>Updated</t>
        </is>
      </c>
      <c r="C14" s="49" t="inlineStr">
        <is>
          <t>Description / steps / expected result corrected</t>
        </is>
      </c>
      <c r="D14" s="49" t="inlineStr">
        <is>
          <t>Alert card content as implemented.</t>
        </is>
      </c>
    </row>
    <row r="15">
      <c r="A15" s="49" t="inlineStr">
        <is>
          <t>RSP-05</t>
        </is>
      </c>
      <c r="B15" s="49" t="inlineStr">
        <is>
          <t>Updated</t>
        </is>
      </c>
      <c r="C15" s="49" t="inlineStr">
        <is>
          <t>Description / steps / expected result corrected</t>
        </is>
      </c>
      <c r="D15" s="49" t="inlineStr">
        <is>
          <t>SRS FR5.3 requires medical info and the DEAF flag.</t>
        </is>
      </c>
    </row>
    <row r="16">
      <c r="A16" s="49" t="inlineStr">
        <is>
          <t>RSP-07</t>
        </is>
      </c>
      <c r="B16" s="49" t="inlineStr">
        <is>
          <t>Updated</t>
        </is>
      </c>
      <c r="C16" s="49" t="inlineStr">
        <is>
          <t>Description / steps / expected result corrected</t>
        </is>
      </c>
      <c r="D16" s="49" t="inlineStr">
        <is>
          <t>All nearby responders are alerted at once; unaccepted SOS is re-dispatched after 60 s with admin escalation.</t>
        </is>
      </c>
    </row>
    <row r="17">
      <c r="A17" s="49" t="inlineStr">
        <is>
          <t>RSP-09</t>
        </is>
      </c>
      <c r="B17" s="49" t="inlineStr">
        <is>
          <t>Updated</t>
        </is>
      </c>
      <c r="C17" s="49" t="inlineStr">
        <is>
          <t>Description / steps / expected result corrected</t>
        </is>
      </c>
      <c r="D17" s="49" t="inlineStr">
        <is>
          <t>Arrival and resolution are separate steps; resolution records an outcome.</t>
        </is>
      </c>
    </row>
    <row r="18">
      <c r="A18" s="49" t="inlineStr">
        <is>
          <t>PRF-04</t>
        </is>
      </c>
      <c r="B18" s="49" t="inlineStr">
        <is>
          <t>Updated</t>
        </is>
      </c>
      <c r="C18" s="49" t="inlineStr">
        <is>
          <t>Description / steps / expected result corrected</t>
        </is>
      </c>
      <c r="D18" s="49" t="inlineStr">
        <is>
          <t>Requirement and expected result described different actions.</t>
        </is>
      </c>
    </row>
    <row r="19">
      <c r="A19" s="49" t="inlineStr">
        <is>
          <t>ACC-08</t>
        </is>
      </c>
      <c r="B19" s="49" t="inlineStr">
        <is>
          <t>Updated</t>
        </is>
      </c>
      <c r="C19" s="49" t="inlineStr">
        <is>
          <t>Description / steps / expected result corrected</t>
        </is>
      </c>
      <c r="D19" s="49" t="inlineStr">
        <is>
          <t>SRS FR3.2 requires scaling up to 150%.</t>
        </is>
      </c>
    </row>
    <row r="20">
      <c r="A20" s="49" t="inlineStr">
        <is>
          <t>NTF-06</t>
        </is>
      </c>
      <c r="B20" s="49" t="inlineStr">
        <is>
          <t>Updated</t>
        </is>
      </c>
      <c r="C20" s="49" t="inlineStr">
        <is>
          <t>Description / steps / expected result corrected</t>
        </is>
      </c>
      <c r="D20" s="49" t="inlineStr">
        <is>
          <t>SRS FR7.4 requires haptic alerts for messages.</t>
        </is>
      </c>
    </row>
    <row r="21">
      <c r="A21" s="49" t="inlineStr">
        <is>
          <t>API-02</t>
        </is>
      </c>
      <c r="B21" s="49" t="inlineStr">
        <is>
          <t>Updated</t>
        </is>
      </c>
      <c r="C21" s="49" t="inlineStr">
        <is>
          <t>Description / steps / expected result corrected</t>
        </is>
      </c>
      <c r="D21" s="49" t="inlineStr">
        <is>
          <t>Login returns token + refreshToken.</t>
        </is>
      </c>
    </row>
    <row r="22">
      <c r="A22" s="49" t="inlineStr">
        <is>
          <t>API-03</t>
        </is>
      </c>
      <c r="B22" s="49" t="inlineStr">
        <is>
          <t>Updated</t>
        </is>
      </c>
      <c r="C22" s="49" t="inlineStr">
        <is>
          <t>Description / steps / expected result corrected</t>
        </is>
      </c>
      <c r="D22" s="49" t="inlineStr">
        <is>
          <t>Real path is /api/auth/refresh-token; security check added.</t>
        </is>
      </c>
    </row>
    <row r="23">
      <c r="A23" s="49" t="inlineStr">
        <is>
          <t>API-05</t>
        </is>
      </c>
      <c r="B23" s="49" t="inlineStr">
        <is>
          <t>Updated</t>
        </is>
      </c>
      <c r="C23" s="49" t="inlineStr">
        <is>
          <t>Description / steps / expected result corrected</t>
        </is>
      </c>
      <c r="D23" s="49" t="inlineStr">
        <is>
          <t>Responders are notified with SOS_TRIGGERED notification and push events, not NEW_EMERGENCY.</t>
        </is>
      </c>
    </row>
    <row r="24">
      <c r="A24" s="49" t="inlineStr">
        <is>
          <t>API-06</t>
        </is>
      </c>
      <c r="B24" s="49" t="inlineStr">
        <is>
          <t>Updated</t>
        </is>
      </c>
      <c r="C24" s="49" t="inlineStr">
        <is>
          <t>Description / steps / expected result corrected</t>
        </is>
      </c>
      <c r="D24" s="49" t="inlineStr">
        <is>
          <t>Real endpoint is POST /api/responders/emergencies/:id/accept; concurrency added (FR5.1).</t>
        </is>
      </c>
    </row>
    <row r="25">
      <c r="A25" s="49" t="inlineStr">
        <is>
          <t>API-07</t>
        </is>
      </c>
      <c r="B25" s="49" t="inlineStr">
        <is>
          <t>Updated</t>
        </is>
      </c>
      <c r="C25" s="49" t="inlineStr">
        <is>
          <t>Description / steps / expected result corrected</t>
        </is>
      </c>
      <c r="D25" s="49" t="inlineStr">
        <is>
          <t>Only the assigned responder may update status.</t>
        </is>
      </c>
    </row>
    <row r="26">
      <c r="A26" s="49" t="inlineStr">
        <is>
          <t>API-12</t>
        </is>
      </c>
      <c r="B26" s="49" t="inlineStr">
        <is>
          <t>Updated</t>
        </is>
      </c>
      <c r="C26" s="49" t="inlineStr">
        <is>
          <t>Description / steps / expected result corrected</t>
        </is>
      </c>
      <c r="D26" s="49" t="inlineStr">
        <is>
          <t>Covers registration, report and chat uploads.</t>
        </is>
      </c>
    </row>
    <row r="27">
      <c r="A27" s="49" t="inlineStr">
        <is>
          <t>AUTH-13</t>
        </is>
      </c>
      <c r="B27" s="49" t="inlineStr">
        <is>
          <t>Added</t>
        </is>
      </c>
      <c r="C27" s="49" t="inlineStr">
        <is>
          <t>Account locks for 30 minutes after 5 failed login attempts</t>
        </is>
      </c>
      <c r="D27" s="49" t="inlineStr">
        <is>
          <t>SRS gap FR1.2</t>
        </is>
      </c>
    </row>
    <row r="28">
      <c r="A28" s="49" t="inlineStr">
        <is>
          <t>AUTH-14</t>
        </is>
      </c>
      <c r="B28" s="49" t="inlineStr">
        <is>
          <t>Added</t>
        </is>
      </c>
      <c r="C28" s="49" t="inlineStr">
        <is>
          <t>User resets a forgotten password with an emailed 6-digit OTP</t>
        </is>
      </c>
      <c r="D28" s="49" t="inlineStr">
        <is>
          <t>SRS gap FR1.5</t>
        </is>
      </c>
    </row>
    <row r="29">
      <c r="A29" s="49" t="inlineStr">
        <is>
          <t>AUTH-15</t>
        </is>
      </c>
      <c r="B29" s="49" t="inlineStr">
        <is>
          <t>Added</t>
        </is>
      </c>
      <c r="C29" s="49" t="inlineStr">
        <is>
          <t>Reset/verification code is invalidated after 5 wrong attempts</t>
        </is>
      </c>
      <c r="D29" s="49" t="inlineStr">
        <is>
          <t>SRS gap FR1.5</t>
        </is>
      </c>
    </row>
    <row r="30">
      <c r="A30" s="49" t="inlineStr">
        <is>
          <t>AUTH-16</t>
        </is>
      </c>
      <c r="B30" s="49" t="inlineStr">
        <is>
          <t>Added</t>
        </is>
      </c>
      <c r="C30" s="49" t="inlineStr">
        <is>
          <t>Public registration cannot create an ADMIN account</t>
        </is>
      </c>
      <c r="D30" s="49" t="inlineStr">
        <is>
          <t>SRS gap FR1.4, FR1.6</t>
        </is>
      </c>
    </row>
    <row r="31">
      <c r="A31" s="49" t="inlineStr">
        <is>
          <t>AUTH-17</t>
        </is>
      </c>
      <c r="B31" s="49" t="inlineStr">
        <is>
          <t>Added</t>
        </is>
      </c>
      <c r="C31" s="49" t="inlineStr">
        <is>
          <t>Deactivated account cannot log in and existing sessions stop working</t>
        </is>
      </c>
      <c r="D31" s="49" t="inlineStr">
        <is>
          <t>SRS gap FR9.3</t>
        </is>
      </c>
    </row>
    <row r="32">
      <c r="A32" s="49" t="inlineStr">
        <is>
          <t>SOS-10</t>
        </is>
      </c>
      <c r="B32" s="49" t="inlineStr">
        <is>
          <t>Added</t>
        </is>
      </c>
      <c r="C32" s="49" t="inlineStr">
        <is>
          <t>Patient selects a medical emergency category</t>
        </is>
      </c>
      <c r="D32" s="49" t="inlineStr">
        <is>
          <t>SRS gap FR4.4</t>
        </is>
      </c>
    </row>
    <row r="33">
      <c r="A33" s="49" t="inlineStr">
        <is>
          <t>SOS-11</t>
        </is>
      </c>
      <c r="B33" s="49" t="inlineStr">
        <is>
          <t>Added</t>
        </is>
      </c>
      <c r="C33" s="49" t="inlineStr">
        <is>
          <t>Patient sees responder ETA that updates while the responder moves</t>
        </is>
      </c>
      <c r="D33" s="49" t="inlineStr">
        <is>
          <t>SRS gap FR6.2</t>
        </is>
      </c>
    </row>
    <row r="34">
      <c r="A34" s="49" t="inlineStr">
        <is>
          <t>SOS-12</t>
        </is>
      </c>
      <c r="B34" s="49" t="inlineStr">
        <is>
          <t>Added</t>
        </is>
      </c>
      <c r="C34" s="49" t="inlineStr">
        <is>
          <t>A quick accidental tap on SOS does not start an emergency</t>
        </is>
      </c>
      <c r="D34" s="49" t="inlineStr">
        <is>
          <t>SRS gap FR4.1</t>
        </is>
      </c>
    </row>
    <row r="35">
      <c r="A35" s="49" t="inlineStr">
        <is>
          <t>SOS-13</t>
        </is>
      </c>
      <c r="B35" s="49" t="inlineStr">
        <is>
          <t>Added</t>
        </is>
      </c>
      <c r="C35" s="49" t="inlineStr">
        <is>
          <t>A second SOS while one is open returns the existing emergency (no duplicate dispatch)</t>
        </is>
      </c>
      <c r="D35" s="49" t="inlineStr">
        <is>
          <t>SRS gap FR4.5</t>
        </is>
      </c>
    </row>
    <row r="36">
      <c r="A36" s="49" t="inlineStr">
        <is>
          <t>SOS-14</t>
        </is>
      </c>
      <c r="B36" s="49" t="inlineStr">
        <is>
          <t>Added</t>
        </is>
      </c>
      <c r="C36" s="49" t="inlineStr">
        <is>
          <t>After sending, the patient can still cancel within the server cancellation window</t>
        </is>
      </c>
      <c r="D36" s="49" t="inlineStr">
        <is>
          <t>SRS gap FR4.3</t>
        </is>
      </c>
    </row>
    <row r="37">
      <c r="A37" s="49" t="inlineStr">
        <is>
          <t>SOS-15</t>
        </is>
      </c>
      <c r="B37" s="49" t="inlineStr">
        <is>
          <t>Added</t>
        </is>
      </c>
      <c r="C37" s="49" t="inlineStr">
        <is>
          <t>Offline patient can still call or SMS Rescue 1122</t>
        </is>
      </c>
      <c r="D37" s="49" t="inlineStr">
        <is>
          <t>New feature (beyond SRS)</t>
        </is>
      </c>
    </row>
    <row r="38">
      <c r="A38" s="49" t="inlineStr">
        <is>
          <t>SOS-16</t>
        </is>
      </c>
      <c r="B38" s="49" t="inlineStr">
        <is>
          <t>Added</t>
        </is>
      </c>
      <c r="C38" s="49" t="inlineStr">
        <is>
          <t>Patient rates the responder after resolution (once)</t>
        </is>
      </c>
      <c r="D38" s="49" t="inlineStr">
        <is>
          <t>New feature (beyond SRS)</t>
        </is>
      </c>
    </row>
    <row r="39">
      <c r="A39" s="49" t="inlineStr">
        <is>
          <t>RSP-10</t>
        </is>
      </c>
      <c r="B39" s="49" t="inlineStr">
        <is>
          <t>Added</t>
        </is>
      </c>
      <c r="C39" s="49" t="inlineStr">
        <is>
          <t>Responder resolves the emergency with an outcome</t>
        </is>
      </c>
      <c r="D39" s="49" t="inlineStr">
        <is>
          <t>SRS gap FR6.2</t>
        </is>
      </c>
    </row>
    <row r="40">
      <c r="A40" s="49" t="inlineStr">
        <is>
          <t>RSP-11</t>
        </is>
      </c>
      <c r="B40" s="49" t="inlineStr">
        <is>
          <t>Added</t>
        </is>
      </c>
      <c r="C40" s="49" t="inlineStr">
        <is>
          <t>Only one of two simultaneous accepts succeeds</t>
        </is>
      </c>
      <c r="D40" s="49" t="inlineStr">
        <is>
          <t>SRS gap FR5.1</t>
        </is>
      </c>
    </row>
    <row r="41">
      <c r="A41" s="49" t="inlineStr">
        <is>
          <t>RSP-12</t>
        </is>
      </c>
      <c r="B41" s="49" t="inlineStr">
        <is>
          <t>Added</t>
        </is>
      </c>
      <c r="C41" s="49" t="inlineStr">
        <is>
          <t>Offline responders are not dispatched</t>
        </is>
      </c>
      <c r="D41" s="49" t="inlineStr">
        <is>
          <t>SRS gap FR5.4</t>
        </is>
      </c>
    </row>
    <row r="42">
      <c r="A42" s="49" t="inlineStr">
        <is>
          <t>RSP-13</t>
        </is>
      </c>
      <c r="B42" s="49" t="inlineStr">
        <is>
          <t>Added</t>
        </is>
      </c>
      <c r="C42" s="49" t="inlineStr">
        <is>
          <t>Navigate opens turn-by-turn directions to the patient</t>
        </is>
      </c>
      <c r="D42" s="49" t="inlineStr">
        <is>
          <t>SRS gap FR6.4</t>
        </is>
      </c>
    </row>
    <row r="43">
      <c r="A43" s="49" t="inlineStr">
        <is>
          <t>RSP-14</t>
        </is>
      </c>
      <c r="B43" s="49" t="inlineStr">
        <is>
          <t>Added</t>
        </is>
      </c>
      <c r="C43" s="49" t="inlineStr">
        <is>
          <t>Responder location is shared live every few seconds during an active emergency</t>
        </is>
      </c>
      <c r="D43" s="49" t="inlineStr">
        <is>
          <t>SRS gap FR6.1</t>
        </is>
      </c>
    </row>
    <row r="44">
      <c r="A44" s="49" t="inlineStr">
        <is>
          <t>RSP-15</t>
        </is>
      </c>
      <c r="B44" s="49" t="inlineStr">
        <is>
          <t>Added</t>
        </is>
      </c>
      <c r="C44" s="49" t="inlineStr">
        <is>
          <t>Responder cancelling an accepted job re-dispatches the SOS</t>
        </is>
      </c>
      <c r="D44" s="49" t="inlineStr">
        <is>
          <t>New feature (beyond SRS)</t>
        </is>
      </c>
    </row>
    <row r="45">
      <c r="A45" s="49" t="inlineStr">
        <is>
          <t>CG-07</t>
        </is>
      </c>
      <c r="B45" s="49" t="inlineStr">
        <is>
          <t>Added</t>
        </is>
      </c>
      <c r="C45" s="49" t="inlineStr">
        <is>
          <t>Patient and caregiver link through an email invitation (many-to-many)</t>
        </is>
      </c>
      <c r="D45" s="49" t="inlineStr">
        <is>
          <t>SRS gap FR7.2</t>
        </is>
      </c>
    </row>
    <row r="46">
      <c r="A46" s="49" t="inlineStr">
        <is>
          <t>CG-08</t>
        </is>
      </c>
      <c r="B46" s="49" t="inlineStr">
        <is>
          <t>Added</t>
        </is>
      </c>
      <c r="C46" s="49" t="inlineStr">
        <is>
          <t>Caregiver sees the live map when a linked patient's SOS is accepted</t>
        </is>
      </c>
      <c r="D46" s="49" t="inlineStr">
        <is>
          <t>SRS gap FR6.3, FR6.2</t>
        </is>
      </c>
    </row>
    <row r="47">
      <c r="A47" s="49" t="inlineStr">
        <is>
          <t>CG-09</t>
        </is>
      </c>
      <c r="B47" s="49" t="inlineStr">
        <is>
          <t>Added</t>
        </is>
      </c>
      <c r="C47" s="49" t="inlineStr">
        <is>
          <t>Caregiver receives assigned / arrived / safe updates without duplicate SOS alerts</t>
        </is>
      </c>
      <c r="D47" s="49" t="inlineStr">
        <is>
          <t>SRS gap FR4.6</t>
        </is>
      </c>
    </row>
    <row r="48">
      <c r="A48" s="49" t="inlineStr">
        <is>
          <t>CG-10</t>
        </is>
      </c>
      <c r="B48" s="49" t="inlineStr">
        <is>
          <t>Added</t>
        </is>
      </c>
      <c r="C48" s="49" t="inlineStr">
        <is>
          <t>Caregiver emergency history shows real data</t>
        </is>
      </c>
      <c r="D48" s="49" t="inlineStr">
        <is>
          <t>New feature (beyond SRS)</t>
        </is>
      </c>
    </row>
    <row r="49">
      <c r="A49" s="49" t="inlineStr">
        <is>
          <t>CHT-07</t>
        </is>
      </c>
      <c r="B49" s="49" t="inlineStr">
        <is>
          <t>Added</t>
        </is>
      </c>
      <c r="C49" s="49" t="inlineStr">
        <is>
          <t>Patient and assigned responder chat during an emergency</t>
        </is>
      </c>
      <c r="D49" s="49" t="inlineStr">
        <is>
          <t>SRS gap FR3.4</t>
        </is>
      </c>
    </row>
    <row r="50">
      <c r="A50" s="49" t="inlineStr">
        <is>
          <t>CHT-08</t>
        </is>
      </c>
      <c r="B50" s="49" t="inlineStr">
        <is>
          <t>Added</t>
        </is>
      </c>
      <c r="C50" s="49" t="inlineStr">
        <is>
          <t>One caregiver chats separately with multiple patients</t>
        </is>
      </c>
      <c r="D50" s="49" t="inlineStr">
        <is>
          <t>SRS gap FR7.2</t>
        </is>
      </c>
    </row>
    <row r="51">
      <c r="A51" s="49" t="inlineStr">
        <is>
          <t>CHT-09</t>
        </is>
      </c>
      <c r="B51" s="49" t="inlineStr">
        <is>
          <t>Added</t>
        </is>
      </c>
      <c r="C51" s="49" t="inlineStr">
        <is>
          <t>Messages in one room are never visible to non-members</t>
        </is>
      </c>
      <c r="D51" s="49" t="inlineStr">
        <is>
          <t>SRS gap FR7.3</t>
        </is>
      </c>
    </row>
    <row r="52">
      <c r="A52" s="49" t="inlineStr">
        <is>
          <t>CHT-10</t>
        </is>
      </c>
      <c r="B52" s="49" t="inlineStr">
        <is>
          <t>Added</t>
        </is>
      </c>
      <c r="C52" s="49" t="inlineStr">
        <is>
          <t>New message notification with haptic feedback</t>
        </is>
      </c>
      <c r="D52" s="49" t="inlineStr">
        <is>
          <t>SRS gap FR7.4, FR3.3</t>
        </is>
      </c>
    </row>
    <row r="53">
      <c r="A53" s="49" t="inlineStr">
        <is>
          <t>CHT-11</t>
        </is>
      </c>
      <c r="B53" s="49" t="inlineStr">
        <is>
          <t>Added</t>
        </is>
      </c>
      <c r="C53" s="49" t="inlineStr">
        <is>
          <t>Chat history persists across app restarts</t>
        </is>
      </c>
      <c r="D53" s="49" t="inlineStr">
        <is>
          <t>SRS gap FR7.5</t>
        </is>
      </c>
    </row>
    <row r="54">
      <c r="A54" s="49" t="inlineStr">
        <is>
          <t>CHT-12</t>
        </is>
      </c>
      <c r="B54" s="49" t="inlineStr">
        <is>
          <t>Added</t>
        </is>
      </c>
      <c r="C54" s="49" t="inlineStr">
        <is>
          <t>Send image, document, voice note and current location</t>
        </is>
      </c>
      <c r="D54" s="49" t="inlineStr">
        <is>
          <t>New feature (beyond SRS)</t>
        </is>
      </c>
    </row>
    <row r="55">
      <c r="A55" s="49" t="inlineStr">
        <is>
          <t>ACC-12</t>
        </is>
      </c>
      <c r="B55" s="49" t="inlineStr">
        <is>
          <t>Added</t>
        </is>
      </c>
      <c r="C55" s="49" t="inlineStr">
        <is>
          <t>Deaf patient gets a full-screen visual alert when help is assigned and arrives</t>
        </is>
      </c>
      <c r="D55" s="49" t="inlineStr">
        <is>
          <t>SRS gap FR3.1</t>
        </is>
      </c>
    </row>
    <row r="56">
      <c r="A56" s="49" t="inlineStr">
        <is>
          <t>ACC-13</t>
        </is>
      </c>
      <c r="B56" s="49" t="inlineStr">
        <is>
          <t>Added</t>
        </is>
      </c>
      <c r="C56" s="49" t="inlineStr">
        <is>
          <t>Deaf patient can show a communication card to bystanders</t>
        </is>
      </c>
      <c r="D56" s="49" t="inlineStr">
        <is>
          <t>SRS gap FR3.4</t>
        </is>
      </c>
    </row>
    <row r="57">
      <c r="A57" s="49" t="inlineStr">
        <is>
          <t>ACC-14</t>
        </is>
      </c>
      <c r="B57" s="49" t="inlineStr">
        <is>
          <t>Added</t>
        </is>
      </c>
      <c r="C57" s="49" t="inlineStr">
        <is>
          <t>Accessibility settings are saved per user account</t>
        </is>
      </c>
      <c r="D57" s="49" t="inlineStr">
        <is>
          <t>SRS gap FR3.2</t>
        </is>
      </c>
    </row>
    <row r="58">
      <c r="A58" s="49" t="inlineStr">
        <is>
          <t>NTF-09</t>
        </is>
      </c>
      <c r="B58" s="49" t="inlineStr">
        <is>
          <t>Added</t>
        </is>
      </c>
      <c r="C58" s="49" t="inlineStr">
        <is>
          <t>Push notifications arrive when the app is closed (self-hosted, no Firebase)</t>
        </is>
      </c>
      <c r="D58" s="49" t="inlineStr">
        <is>
          <t>New feature (beyond SRS)</t>
        </is>
      </c>
    </row>
    <row r="59">
      <c r="A59" s="49" t="inlineStr">
        <is>
          <t>NTF-10</t>
        </is>
      </c>
      <c r="B59" s="49" t="inlineStr">
        <is>
          <t>Added</t>
        </is>
      </c>
      <c r="C59" s="49" t="inlineStr">
        <is>
          <t>Notifications missed while offline are delivered after reconnect</t>
        </is>
      </c>
      <c r="D59" s="49" t="inlineStr">
        <is>
          <t>New feature (beyond SRS)</t>
        </is>
      </c>
    </row>
    <row r="60">
      <c r="A60" s="49" t="inlineStr">
        <is>
          <t>NTF-11</t>
        </is>
      </c>
      <c r="B60" s="49" t="inlineStr">
        <is>
          <t>Added</t>
        </is>
      </c>
      <c r="C60" s="49" t="inlineStr">
        <is>
          <t>Tapping a notification opens the correct screen for the role</t>
        </is>
      </c>
      <c r="D60" s="49" t="inlineStr">
        <is>
          <t>New feature (beyond SRS)</t>
        </is>
      </c>
    </row>
    <row r="61">
      <c r="A61" s="49" t="inlineStr">
        <is>
          <t>NTF-12</t>
        </is>
      </c>
      <c r="B61" s="49" t="inlineStr">
        <is>
          <t>Added</t>
        </is>
      </c>
      <c r="C61" s="49" t="inlineStr">
        <is>
          <t>Expired emergency alerts are never shown late</t>
        </is>
      </c>
      <c r="D61" s="49" t="inlineStr">
        <is>
          <t>New feature (beyond SRS)</t>
        </is>
      </c>
    </row>
    <row r="62">
      <c r="A62" s="49" t="inlineStr">
        <is>
          <t>ADM-09</t>
        </is>
      </c>
      <c r="B62" s="49" t="inlineStr">
        <is>
          <t>Added</t>
        </is>
      </c>
      <c r="C62" s="49" t="inlineStr">
        <is>
          <t>Admin filters users by role and status</t>
        </is>
      </c>
      <c r="D62" s="49" t="inlineStr">
        <is>
          <t>SRS gap FR9.2</t>
        </is>
      </c>
    </row>
    <row r="63">
      <c r="A63" s="49" t="inlineStr">
        <is>
          <t>ADM-10</t>
        </is>
      </c>
      <c r="B63" s="49" t="inlineStr">
        <is>
          <t>Added</t>
        </is>
      </c>
      <c r="C63" s="49" t="inlineStr">
        <is>
          <t>Admin deletes a user account (soft delete, audit preserved)</t>
        </is>
      </c>
      <c r="D63" s="49" t="inlineStr">
        <is>
          <t>SRS gap FR9.3</t>
        </is>
      </c>
    </row>
    <row r="64">
      <c r="A64" s="49" t="inlineStr">
        <is>
          <t>ADM-11</t>
        </is>
      </c>
      <c r="B64" s="49" t="inlineStr">
        <is>
          <t>Added</t>
        </is>
      </c>
      <c r="C64" s="49" t="inlineStr">
        <is>
          <t>Admin live map shows active SOS and moving responders</t>
        </is>
      </c>
      <c r="D64" s="49" t="inlineStr">
        <is>
          <t>SRS gap FR6.1</t>
        </is>
      </c>
    </row>
    <row r="65">
      <c r="A65" s="49" t="inlineStr">
        <is>
          <t>ADM-12</t>
        </is>
      </c>
      <c r="B65" s="49" t="inlineStr">
        <is>
          <t>Added</t>
        </is>
      </c>
      <c r="C65" s="49" t="inlineStr">
        <is>
          <t>Admin changes or cancels a user's subscription plan</t>
        </is>
      </c>
      <c r="D65" s="49" t="inlineStr">
        <is>
          <t>New feature (beyond SRS)</t>
        </is>
      </c>
    </row>
    <row r="66">
      <c r="A66" s="49" t="inlineStr">
        <is>
          <t>ADM-13</t>
        </is>
      </c>
      <c r="B66" s="49" t="inlineStr">
        <is>
          <t>Added</t>
        </is>
      </c>
      <c r="C66" s="49" t="inlineStr">
        <is>
          <t>Maintenance mode blocks non-admin API usage</t>
        </is>
      </c>
      <c r="D66" s="49" t="inlineStr">
        <is>
          <t>New feature (beyond SRS)</t>
        </is>
      </c>
    </row>
    <row r="67">
      <c r="A67" s="49" t="inlineStr">
        <is>
          <t>API-13</t>
        </is>
      </c>
      <c r="B67" s="49" t="inlineStr">
        <is>
          <t>Added</t>
        </is>
      </c>
      <c r="C67" s="49" t="inlineStr">
        <is>
          <t>GET /api/emergencies/history — patient own / caregiver linked patients</t>
        </is>
      </c>
      <c r="D67" s="49" t="inlineStr">
        <is>
          <t>SRS gap FR6.3</t>
        </is>
      </c>
    </row>
    <row r="68">
      <c r="A68" s="49" t="inlineStr">
        <is>
          <t>API-14</t>
        </is>
      </c>
      <c r="B68" s="49" t="inlineStr">
        <is>
          <t>Added</t>
        </is>
      </c>
      <c r="C68" s="49" t="inlineStr">
        <is>
          <t>GET /api/notifications/pending and POST /api/notifications/ack</t>
        </is>
      </c>
      <c r="D68" s="49" t="inlineStr">
        <is>
          <t>New feature (beyond SRS)</t>
        </is>
      </c>
    </row>
    <row r="69">
      <c r="A69" s="49" t="inlineStr">
        <is>
          <t>API-15</t>
        </is>
      </c>
      <c r="B69" s="49" t="inlineStr">
        <is>
          <t>Added</t>
        </is>
      </c>
      <c r="C69" s="49" t="inlineStr">
        <is>
          <t>GET /api/emergencies/:id enforces access control</t>
        </is>
      </c>
      <c r="D69" s="49" t="inlineStr">
        <is>
          <t>SRS gap FR2.6</t>
        </is>
      </c>
    </row>
    <row r="70">
      <c r="A70" s="49" t="inlineStr">
        <is>
          <t>API-16</t>
        </is>
      </c>
      <c r="B70" s="49" t="inlineStr">
        <is>
          <t>Added</t>
        </is>
      </c>
      <c r="C70" s="49" t="inlineStr">
        <is>
          <t>Socket.io connections require a valid JWT</t>
        </is>
      </c>
      <c r="D70" s="49" t="inlineStr">
        <is>
          <t>SRS gap FR6.1</t>
        </is>
      </c>
    </row>
    <row r="71">
      <c r="A71" s="49" t="inlineStr">
        <is>
          <t>PRV-01</t>
        </is>
      </c>
      <c r="B71" s="49" t="inlineStr">
        <is>
          <t>Added</t>
        </is>
      </c>
      <c r="C71" s="49" t="inlineStr">
        <is>
          <t>Phone number and email are hidden from users without a care or emergency relationship</t>
        </is>
      </c>
      <c r="D71" s="49" t="inlineStr">
        <is>
          <t>New sheet PRIVACY_CALLS; SRS FR7.3</t>
        </is>
      </c>
    </row>
    <row r="72">
      <c r="A72" s="49" t="inlineStr">
        <is>
          <t>PRV-02</t>
        </is>
      </c>
      <c r="B72" s="49" t="inlineStr">
        <is>
          <t>Added</t>
        </is>
      </c>
      <c r="C72" s="49" t="inlineStr">
        <is>
          <t>Patient and linked caregiver can see each other's phone number</t>
        </is>
      </c>
      <c r="D72" s="49" t="inlineStr">
        <is>
          <t>New sheet PRIVACY_CALLS; SRS FR7.3</t>
        </is>
      </c>
    </row>
    <row r="73">
      <c r="A73" s="49" t="inlineStr">
        <is>
          <t>PRV-03</t>
        </is>
      </c>
      <c r="B73" s="49" t="inlineStr">
        <is>
          <t>Added</t>
        </is>
      </c>
      <c r="C73" s="49" t="inlineStr">
        <is>
          <t>A dispatched responder who has not accepted sees the medical summary but not the patient's contact details</t>
        </is>
      </c>
      <c r="D73" s="49" t="inlineStr">
        <is>
          <t>New sheet PRIVACY_CALLS; SRS FR5.3</t>
        </is>
      </c>
    </row>
    <row r="74">
      <c r="A74" s="49" t="inlineStr">
        <is>
          <t>PRV-04</t>
        </is>
      </c>
      <c r="B74" s="49" t="inlineStr">
        <is>
          <t>Added</t>
        </is>
      </c>
      <c r="C74" s="49" t="inlineStr">
        <is>
          <t>During an open emergency the patient, caregiver and assigned responder can reach each other</t>
        </is>
      </c>
      <c r="D74" s="49" t="inlineStr">
        <is>
          <t>New sheet PRIVACY_CALLS; SRS FR5.3</t>
        </is>
      </c>
    </row>
    <row r="75">
      <c r="A75" s="49" t="inlineStr">
        <is>
          <t>PRV-05</t>
        </is>
      </c>
      <c r="B75" s="49" t="inlineStr">
        <is>
          <t>Added</t>
        </is>
      </c>
      <c r="C75" s="49" t="inlineStr">
        <is>
          <t>When the responder's job is done, contact details are hidden again</t>
        </is>
      </c>
      <c r="D75" s="49" t="inlineStr">
        <is>
          <t>New sheet PRIVACY_CALLS; beyond SRS</t>
        </is>
      </c>
    </row>
    <row r="76">
      <c r="A76" s="49" t="inlineStr">
        <is>
          <t>PRV-06</t>
        </is>
      </c>
      <c r="B76" s="49" t="inlineStr">
        <is>
          <t>Added</t>
        </is>
      </c>
      <c r="C76" s="49" t="inlineStr">
        <is>
          <t>Responder history and the nearby-responder list never expose contact details</t>
        </is>
      </c>
      <c r="D76" s="49" t="inlineStr">
        <is>
          <t>New sheet PRIVACY_CALLS; beyond SRS</t>
        </is>
      </c>
    </row>
    <row r="77">
      <c r="A77" s="49" t="inlineStr">
        <is>
          <t>PRV-07</t>
        </is>
      </c>
      <c r="B77" s="49" t="inlineStr">
        <is>
          <t>Added</t>
        </is>
      </c>
      <c r="C77" s="49" t="inlineStr">
        <is>
          <t>When one responder accepts, other dispatched requests are closed as taken by another responder</t>
        </is>
      </c>
      <c r="D77" s="49" t="inlineStr">
        <is>
          <t>New sheet PRIVACY_CALLS; SRS FR5.1</t>
        </is>
      </c>
    </row>
    <row r="78">
      <c r="A78" s="49" t="inlineStr">
        <is>
          <t>LCK-01</t>
        </is>
      </c>
      <c r="B78" s="49" t="inlineStr">
        <is>
          <t>Added</t>
        </is>
      </c>
      <c r="C78" s="49" t="inlineStr">
        <is>
          <t>Patient and assigned responder can chat while the emergency is open</t>
        </is>
      </c>
      <c r="D78" s="49" t="inlineStr">
        <is>
          <t>New sheet PRIVACY_CALLS; SRS FR7.3</t>
        </is>
      </c>
    </row>
    <row r="79">
      <c r="A79" s="49" t="inlineStr">
        <is>
          <t>LCK-02</t>
        </is>
      </c>
      <c r="B79" s="49" t="inlineStr">
        <is>
          <t>Added</t>
        </is>
      </c>
      <c r="C79" s="49" t="inlineStr">
        <is>
          <t>After the emergency ends the chat is read-only for both sides</t>
        </is>
      </c>
      <c r="D79" s="49" t="inlineStr">
        <is>
          <t>New sheet PRIVACY_CALLS; beyond SRS</t>
        </is>
      </c>
    </row>
    <row r="80">
      <c r="A80" s="49" t="inlineStr">
        <is>
          <t>LCK-03</t>
        </is>
      </c>
      <c r="B80" s="49" t="inlineStr">
        <is>
          <t>Added</t>
        </is>
      </c>
      <c r="C80" s="49" t="inlineStr">
        <is>
          <t>App shows the closed state in an ended emergency chat</t>
        </is>
      </c>
      <c r="D80" s="49" t="inlineStr">
        <is>
          <t>New sheet PRIVACY_CALLS; beyond SRS</t>
        </is>
      </c>
    </row>
    <row r="81">
      <c r="A81" s="49" t="inlineStr">
        <is>
          <t>PHN-01</t>
        </is>
      </c>
      <c r="B81" s="49" t="inlineStr">
        <is>
          <t>Added</t>
        </is>
      </c>
      <c r="C81" s="49" t="inlineStr">
        <is>
          <t>Hearing patient calls the assigned responder from the tracking screen (use case UC4)</t>
        </is>
      </c>
      <c r="D81" s="49" t="inlineStr">
        <is>
          <t>New sheet PRIVACY_CALLS; beyond SRS</t>
        </is>
      </c>
    </row>
    <row r="82">
      <c r="A82" s="49" t="inlineStr">
        <is>
          <t>PHN-02</t>
        </is>
      </c>
      <c r="B82" s="49" t="inlineStr">
        <is>
          <t>Added</t>
        </is>
      </c>
      <c r="C82" s="49" t="inlineStr">
        <is>
          <t>Responder calls a hearing patient from the active emergency (use case UC7)</t>
        </is>
      </c>
      <c r="D82" s="49" t="inlineStr">
        <is>
          <t>New sheet PRIVACY_CALLS; beyond SRS</t>
        </is>
      </c>
    </row>
    <row r="83">
      <c r="A83" s="49" t="inlineStr">
        <is>
          <t>PHN-03</t>
        </is>
      </c>
      <c r="B83" s="49" t="inlineStr">
        <is>
          <t>Added</t>
        </is>
      </c>
      <c r="C83" s="49" t="inlineStr">
        <is>
          <t>Call button in the chat header for patient ↔ caregiver and open emergency chats</t>
        </is>
      </c>
      <c r="D83" s="49" t="inlineStr">
        <is>
          <t>New sheet PRIVACY_CALLS; beyond SRS</t>
        </is>
      </c>
    </row>
    <row r="84">
      <c r="A84" s="49" t="inlineStr">
        <is>
          <t>PHN-04</t>
        </is>
      </c>
      <c r="B84" s="49" t="inlineStr">
        <is>
          <t>Added</t>
        </is>
      </c>
      <c r="C84" s="49" t="inlineStr">
        <is>
          <t>No voice-call options are offered in a Deaf patient's chats</t>
        </is>
      </c>
      <c r="D84" s="49" t="inlineStr">
        <is>
          <t>New sheet PRIVACY_CALLS; SRS FR3.1</t>
        </is>
      </c>
    </row>
    <row r="85">
      <c r="A85" s="49" t="inlineStr">
        <is>
          <t>CALL-01</t>
        </is>
      </c>
      <c r="B85" s="49" t="inlineStr">
        <is>
          <t>Added</t>
        </is>
      </c>
      <c r="C85" s="49" t="inlineStr">
        <is>
          <t>Patient calls a linked caregiver in the app</t>
        </is>
      </c>
      <c r="D85" s="49" t="inlineStr">
        <is>
          <t>New sheet PRIVACY_CALLS; beyond SRS</t>
        </is>
      </c>
    </row>
    <row r="86">
      <c r="A86" s="49" t="inlineStr">
        <is>
          <t>CALL-02</t>
        </is>
      </c>
      <c r="B86" s="49" t="inlineStr">
        <is>
          <t>Added</t>
        </is>
      </c>
      <c r="C86" s="49" t="inlineStr">
        <is>
          <t>Only the two participants exchange call signals; busy users cannot be called</t>
        </is>
      </c>
      <c r="D86" s="49" t="inlineStr">
        <is>
          <t>New sheet PRIVACY_CALLS; beyond SRS</t>
        </is>
      </c>
    </row>
    <row r="87">
      <c r="A87" s="49" t="inlineStr">
        <is>
          <t>CALL-03</t>
        </is>
      </c>
      <c r="B87" s="49" t="inlineStr">
        <is>
          <t>Added</t>
        </is>
      </c>
      <c r="C87" s="49" t="inlineStr">
        <is>
          <t>Calls with a Deaf patient are video only</t>
        </is>
      </c>
      <c r="D87" s="49" t="inlineStr">
        <is>
          <t>New sheet PRIVACY_CALLS; SRS FR3.1</t>
        </is>
      </c>
    </row>
    <row r="88">
      <c r="A88" s="49" t="inlineStr">
        <is>
          <t>CALL-04</t>
        </is>
      </c>
      <c r="B88" s="49" t="inlineStr">
        <is>
          <t>Added</t>
        </is>
      </c>
      <c r="C88" s="49" t="inlineStr">
        <is>
          <t>Decline and cancel</t>
        </is>
      </c>
      <c r="D88" s="49" t="inlineStr">
        <is>
          <t>New sheet PRIVACY_CALLS; beyond SRS</t>
        </is>
      </c>
    </row>
    <row r="89">
      <c r="A89" s="49" t="inlineStr">
        <is>
          <t>CALL-05</t>
        </is>
      </c>
      <c r="B89" s="49" t="inlineStr">
        <is>
          <t>Added</t>
        </is>
      </c>
      <c r="C89" s="49" t="inlineStr">
        <is>
          <t>Unanswered call stops ringing after 45 seconds</t>
        </is>
      </c>
      <c r="D89" s="49" t="inlineStr">
        <is>
          <t>New sheet PRIVACY_CALLS; beyond SRS</t>
        </is>
      </c>
    </row>
    <row r="90">
      <c r="A90" s="49" t="inlineStr">
        <is>
          <t>CALL-06</t>
        </is>
      </c>
      <c r="B90" s="49" t="inlineStr">
        <is>
          <t>Added</t>
        </is>
      </c>
      <c r="C90" s="49" t="inlineStr">
        <is>
          <t>Responder calls are tied to the open emergency</t>
        </is>
      </c>
      <c r="D90" s="49" t="inlineStr">
        <is>
          <t>New sheet PRIVACY_CALLS; beyond SRS</t>
        </is>
      </c>
    </row>
    <row r="91">
      <c r="A91" s="49" t="inlineStr">
        <is>
          <t>CALL-07</t>
        </is>
      </c>
      <c r="B91" s="49" t="inlineStr">
        <is>
          <t>Added</t>
        </is>
      </c>
      <c r="C91" s="49" t="inlineStr">
        <is>
          <t>Call start/end/decline/miss are recorded in the audit log</t>
        </is>
      </c>
      <c r="D91" s="49" t="inlineStr">
        <is>
          <t>New sheet PRIVACY_CALLS; beyond SRS</t>
        </is>
      </c>
    </row>
    <row r="92">
      <c r="A92" s="49" t="inlineStr">
        <is>
          <t>CALL-08</t>
        </is>
      </c>
      <c r="B92" s="49" t="inlineStr">
        <is>
          <t>Added</t>
        </is>
      </c>
      <c r="C92" s="49" t="inlineStr">
        <is>
          <t>Voice call connects with audio both ways</t>
        </is>
      </c>
      <c r="D92" s="49" t="inlineStr">
        <is>
          <t>New sheet PRIVACY_CALLS; beyond SRS</t>
        </is>
      </c>
    </row>
    <row r="93">
      <c r="A93" s="49" t="inlineStr">
        <is>
          <t>CALL-09</t>
        </is>
      </c>
      <c r="B93" s="49" t="inlineStr">
        <is>
          <t>Added</t>
        </is>
      </c>
      <c r="C93" s="49" t="inlineStr">
        <is>
          <t>Video call shows the remote video and local preview</t>
        </is>
      </c>
      <c r="D93" s="49" t="inlineStr">
        <is>
          <t>New sheet PRIVACY_CALLS; beyond SRS</t>
        </is>
      </c>
    </row>
    <row r="94">
      <c r="A94" s="49" t="inlineStr">
        <is>
          <t>CALL-10</t>
        </is>
      </c>
      <c r="B94" s="49" t="inlineStr">
        <is>
          <t>Added</t>
        </is>
      </c>
      <c r="C94" s="49" t="inlineStr">
        <is>
          <t>Incoming call reaches a phone with the app in the background</t>
        </is>
      </c>
      <c r="D94" s="49" t="inlineStr">
        <is>
          <t>New sheet PRIVACY_CALLS; beyond SRS</t>
        </is>
      </c>
    </row>
    <row r="95">
      <c r="A95" s="49" t="inlineStr">
        <is>
          <t>CALL-11</t>
        </is>
      </c>
      <c r="B95" s="49" t="inlineStr">
        <is>
          <t>Added</t>
        </is>
      </c>
      <c r="C95" s="49" t="inlineStr">
        <is>
          <t>Deaf patient sees only video call buttons and a visual incoming-call alert</t>
        </is>
      </c>
      <c r="D95" s="49" t="inlineStr">
        <is>
          <t>New sheet PRIVACY_CALLS; SRS FR3.1</t>
        </is>
      </c>
    </row>
    <row r="96">
      <c r="A96" s="49" t="inlineStr">
        <is>
          <t>PERF-01</t>
        </is>
      </c>
      <c r="B96" s="49" t="inlineStr">
        <is>
          <t>Added</t>
        </is>
      </c>
      <c r="C96" s="49" t="inlineStr">
        <is>
          <t>SOS countdown opens immediately after Send SOS</t>
        </is>
      </c>
      <c r="D96" s="49" t="inlineStr">
        <is>
          <t>New sheet PRIVACY_CALLS; SRS FR8.4</t>
        </is>
      </c>
    </row>
    <row r="97">
      <c r="A97" s="49" t="inlineStr">
        <is>
          <t>PERF-02</t>
        </is>
      </c>
      <c r="B97" s="49" t="inlineStr">
        <is>
          <t>Added</t>
        </is>
      </c>
      <c r="C97" s="49" t="inlineStr">
        <is>
          <t>Responder reaches navigation right after accepting</t>
        </is>
      </c>
      <c r="D97" s="49" t="inlineStr">
        <is>
          <t>New sheet PRIVACY_CALLS; SRS FR8.4</t>
        </is>
      </c>
    </row>
    <row r="98">
      <c r="A98" s="49" t="inlineStr">
        <is>
          <t>PERF-03</t>
        </is>
      </c>
      <c r="B98" s="49" t="inlineStr">
        <is>
          <t>Added</t>
        </is>
      </c>
      <c r="C98" s="49" t="inlineStr">
        <is>
          <t>Responder marker moves smoothly along the road</t>
        </is>
      </c>
      <c r="D98" s="49" t="inlineStr">
        <is>
          <t>New sheet PRIVACY_CALLS; SRS FR6.2</t>
        </is>
      </c>
    </row>
    <row r="99">
      <c r="A99" s="49" t="inlineStr">
        <is>
          <t>AI-01</t>
        </is>
      </c>
      <c r="B99" s="49" t="inlineStr">
        <is>
          <t>Added</t>
        </is>
      </c>
      <c r="C99" s="49" t="inlineStr">
        <is>
          <t>AI symptom check suggests the emergency type</t>
        </is>
      </c>
      <c r="D99" s="49" t="inlineStr">
        <is>
          <t>New sheet PRIVACY_CALLS; beyond SRS</t>
        </is>
      </c>
    </row>
    <row r="100">
      <c r="A100" s="49" t="inlineStr">
        <is>
          <t>AI-02</t>
        </is>
      </c>
      <c r="B100" s="49" t="inlineStr">
        <is>
          <t>Added</t>
        </is>
      </c>
      <c r="C100" s="49" t="inlineStr">
        <is>
          <t>AI quick replies are personalised for a Deaf patient</t>
        </is>
      </c>
      <c r="D100" s="49" t="inlineStr">
        <is>
          <t>New sheet PRIVACY_CALLS; beyond SRS</t>
        </is>
      </c>
    </row>
    <row r="101">
      <c r="A101" s="49" t="inlineStr">
        <is>
          <t>PAY-01</t>
        </is>
      </c>
      <c r="B101" s="49" t="inlineStr">
        <is>
          <t>Added</t>
        </is>
      </c>
      <c r="C101" s="49" t="inlineStr">
        <is>
          <t>Stripe card form opens quickly after tapping Pay</t>
        </is>
      </c>
      <c r="D101" s="49" t="inlineStr">
        <is>
          <t>New sheet PRIVACY_CALLS; beyond SRS</t>
        </is>
      </c>
    </row>
    <row r="102">
      <c r="A102" s="49" t="inlineStr">
        <is>
          <t>PAY-02</t>
        </is>
      </c>
      <c r="B102" s="49" t="inlineStr">
        <is>
          <t>Added</t>
        </is>
      </c>
      <c r="C102" s="49" t="inlineStr">
        <is>
          <t>Test card payment upgrades the plan</t>
        </is>
      </c>
      <c r="D102" s="49" t="inlineStr">
        <is>
          <t>New sheet PRIVACY_CALLS; beyond SRS</t>
        </is>
      </c>
    </row>
    <row r="103">
      <c r="A103" s="49" t="inlineStr">
        <is>
          <t>PAY-03</t>
        </is>
      </c>
      <c r="B103" s="49" t="inlineStr">
        <is>
          <t>Added</t>
        </is>
      </c>
      <c r="C103" s="49" t="inlineStr">
        <is>
          <t>Cancelling the payment sheet does not charge</t>
        </is>
      </c>
      <c r="D103" s="49" t="inlineStr">
        <is>
          <t>New sheet PRIVACY_CALLS; beyond SRS</t>
        </is>
      </c>
    </row>
    <row r="104">
      <c r="A104" s="49" t="inlineStr">
        <is>
          <t>REG-01</t>
        </is>
      </c>
      <c r="B104" s="49" t="inlineStr">
        <is>
          <t>Added</t>
        </is>
      </c>
      <c r="C104" s="49" t="inlineStr">
        <is>
          <t>Automated suites pass after all changes</t>
        </is>
      </c>
      <c r="D104" s="49" t="inlineStr">
        <is>
          <t>New sheet PRIVACY_CALLS; SRS NFR</t>
        </is>
      </c>
    </row>
    <row r="105">
      <c r="A105" s="49" t="inlineStr">
        <is>
          <t>REG-02</t>
        </is>
      </c>
      <c r="B105" s="49" t="inlineStr">
        <is>
          <t>Added</t>
        </is>
      </c>
      <c r="C105" s="49" t="inlineStr">
        <is>
          <t>Full SOS cycle works end to end in the app</t>
        </is>
      </c>
      <c r="D105" s="49" t="inlineStr">
        <is>
          <t>New sheet PRIVACY_CALLS; SRS FR1</t>
        </is>
      </c>
    </row>
    <row r="106">
      <c r="A106" s="49" t="inlineStr">
        <is>
          <t>REG-03</t>
        </is>
      </c>
      <c r="B106" s="49" t="inlineStr">
        <is>
          <t>Added</t>
        </is>
      </c>
      <c r="C106" s="49" t="inlineStr">
        <is>
          <t>Every role still opens and main screens load</t>
        </is>
      </c>
      <c r="D106" s="49" t="inlineStr">
        <is>
          <t>New sheet PRIVACY_CALLS; SRS NFR</t>
        </is>
      </c>
    </row>
    <row r="107">
      <c r="A107" s="49" t="inlineStr">
        <is>
          <t>PERF-04</t>
        </is>
      </c>
      <c r="B107" s="49" t="inlineStr">
        <is>
          <t>Added</t>
        </is>
      </c>
      <c r="C107" s="49" t="inlineStr">
        <is>
          <t>App reopens quickly from the background</t>
        </is>
      </c>
      <c r="D107" s="49" t="inlineStr">
        <is>
          <t>New sheet PRIVACY_CALLS; SRS FR8.4</t>
        </is>
      </c>
    </row>
    <row r="108">
      <c r="A108" s="49" t="inlineStr">
        <is>
          <t>PERF-05</t>
        </is>
      </c>
      <c r="B108" s="49" t="inlineStr">
        <is>
          <t>Added</t>
        </is>
      </c>
      <c r="C108" s="49" t="inlineStr">
        <is>
          <t>App cold start time</t>
        </is>
      </c>
      <c r="D108" s="49" t="inlineStr">
        <is>
          <t>New sheet PRIVACY_CALLS; SRS FR8.4</t>
        </is>
      </c>
    </row>
    <row r="109">
      <c r="A109" s="49" t="inlineStr">
        <is>
          <t>PERF-06</t>
        </is>
      </c>
      <c r="B109" s="49" t="inlineStr">
        <is>
          <t>Added</t>
        </is>
      </c>
      <c r="C109" s="49" t="inlineStr">
        <is>
          <t>Backend starts quickly for development and production</t>
        </is>
      </c>
      <c r="D109" s="49" t="inlineStr">
        <is>
          <t>New sheet PRIVACY_CALLS; SRS NFR</t>
        </is>
      </c>
    </row>
    <row r="110">
      <c r="A110" s="49" t="inlineStr">
        <is>
          <t>REL-01</t>
        </is>
      </c>
      <c r="B110" s="49" t="inlineStr">
        <is>
          <t>Added</t>
        </is>
      </c>
      <c r="C110" s="49" t="inlineStr">
        <is>
          <t>Release APK builds</t>
        </is>
      </c>
      <c r="D110" s="49" t="inlineStr">
        <is>
          <t>New sheet PRIVACY_CALLS; SRS NFR</t>
        </is>
      </c>
    </row>
    <row r="111">
      <c r="A111" s="49" t="inlineStr">
        <is>
          <t>REL-02</t>
        </is>
      </c>
      <c r="B111" s="49" t="inlineStr">
        <is>
          <t>Added</t>
        </is>
      </c>
      <c r="C111" s="49" t="inlineStr">
        <is>
          <t>Release APK runs</t>
        </is>
      </c>
      <c r="D111" s="49" t="inlineStr">
        <is>
          <t>New sheet PRIVACY_CALLS; SRS NFR</t>
        </is>
      </c>
    </row>
    <row r="112">
      <c r="A112" s="49" t="inlineStr">
        <is>
          <t>REL-03</t>
        </is>
      </c>
      <c r="B112" s="49" t="inlineStr">
        <is>
          <t>Added</t>
        </is>
      </c>
      <c r="C112" s="49" t="inlineStr">
        <is>
          <t>Release APK works on a real phone over Wi-Fi</t>
        </is>
      </c>
      <c r="D112" s="49" t="inlineStr">
        <is>
          <t>New sheet PRIVACY_CALLS; SRS NFR</t>
        </is>
      </c>
    </row>
    <row r="113">
      <c r="A113" s="49" t="inlineStr">
        <is>
          <t>WEB-01</t>
        </is>
      </c>
      <c r="B113" s="49" t="inlineStr">
        <is>
          <t>Added</t>
        </is>
      </c>
      <c r="C113" s="49" t="inlineStr">
        <is>
          <t>Animated background matches the app’s purpose and keeps text readable</t>
        </is>
      </c>
      <c r="D113" s="49" t="inlineStr">
        <is>
          <t>New sheet PRIVACY_CALLS; beyond SRS</t>
        </is>
      </c>
    </row>
    <row r="114">
      <c r="A114" s="49" t="inlineStr">
        <is>
          <t>WEB-02</t>
        </is>
      </c>
      <c r="B114" s="49" t="inlineStr">
        <is>
          <t>Added</t>
        </is>
      </c>
      <c r="C114" s="49" t="inlineStr">
        <is>
          <t>Interactive elements respond on hover</t>
        </is>
      </c>
      <c r="D114" s="49" t="inlineStr">
        <is>
          <t>New sheet PRIVACY_CALLS; beyond SRS</t>
        </is>
      </c>
    </row>
    <row r="115">
      <c r="A115" s="49" t="inlineStr">
        <is>
          <t>WEB-03</t>
        </is>
      </c>
      <c r="B115" s="49" t="inlineStr">
        <is>
          <t>Added</t>
        </is>
      </c>
      <c r="C115" s="49" t="inlineStr">
        <is>
          <t>Icons match their headings</t>
        </is>
      </c>
      <c r="D115" s="49" t="inlineStr">
        <is>
          <t>New sheet PRIVACY_CALLS; beyond SRS</t>
        </is>
      </c>
    </row>
    <row r="116">
      <c r="A116" s="49" t="inlineStr">
        <is>
          <t>WEB-04</t>
        </is>
      </c>
      <c r="B116" s="49" t="inlineStr">
        <is>
          <t>Added</t>
        </is>
      </c>
      <c r="C116" s="49" t="inlineStr">
        <is>
          <t>Mockups use the real app look</t>
        </is>
      </c>
      <c r="D116" s="49" t="inlineStr">
        <is>
          <t>New sheet PRIVACY_CALLS; beyond SRS</t>
        </is>
      </c>
    </row>
    <row r="117">
      <c r="A117" s="49" t="inlineStr">
        <is>
          <t>WEB-05</t>
        </is>
      </c>
      <c r="B117" s="49" t="inlineStr">
        <is>
          <t>Added</t>
        </is>
      </c>
      <c r="C117" s="49" t="inlineStr">
        <is>
          <t>Footer is organised and branded</t>
        </is>
      </c>
      <c r="D117" s="49" t="inlineStr">
        <is>
          <t>New sheet PRIVACY_CALLS; beyond SRS</t>
        </is>
      </c>
    </row>
    <row r="118">
      <c r="A118" s="49" t="inlineStr">
        <is>
          <t>ADM-01</t>
        </is>
      </c>
      <c r="B118" s="49" t="inlineStr">
        <is>
          <t>Added</t>
        </is>
      </c>
      <c r="C118" s="49" t="inlineStr">
        <is>
          <t>Branded admin sign-in page</t>
        </is>
      </c>
      <c r="D118" s="49" t="inlineStr">
        <is>
          <t>New sheet PRIVACY_CALLS; SRS FR10</t>
        </is>
      </c>
    </row>
    <row r="119">
      <c r="A119" s="49" t="inlineStr">
        <is>
          <t>ADM-02</t>
        </is>
      </c>
      <c r="B119" s="49" t="inlineStr">
        <is>
          <t>Added</t>
        </is>
      </c>
      <c r="C119" s="49" t="inlineStr">
        <is>
          <t>Maps follow dark mode</t>
        </is>
      </c>
      <c r="D119" s="49" t="inlineStr">
        <is>
          <t>New sheet PRIVACY_CALLS; SRS FR10</t>
        </is>
      </c>
    </row>
    <row r="120">
      <c r="A120" s="49" t="inlineStr">
        <is>
          <t>ADM-03</t>
        </is>
      </c>
      <c r="B120" s="49" t="inlineStr">
        <is>
          <t>Added</t>
        </is>
      </c>
      <c r="C120" s="49" t="inlineStr">
        <is>
          <t>User details open in a centred dialog</t>
        </is>
      </c>
      <c r="D120" s="49" t="inlineStr">
        <is>
          <t>New sheet PRIVACY_CALLS; SRS FR10</t>
        </is>
      </c>
    </row>
    <row r="121">
      <c r="A121" s="49" t="inlineStr">
        <is>
          <t>ADM-04</t>
        </is>
      </c>
      <c r="B121" s="49" t="inlineStr">
        <is>
          <t>Added</t>
        </is>
      </c>
      <c r="C121" s="49" t="inlineStr">
        <is>
          <t>Header search only navigates to real matches</t>
        </is>
      </c>
      <c r="D121" s="49" t="inlineStr">
        <is>
          <t>New sheet PRIVACY_CALLS; SRS FR10</t>
        </is>
      </c>
    </row>
    <row r="122">
      <c r="A122" s="49" t="inlineStr">
        <is>
          <t>ADM-05</t>
        </is>
      </c>
      <c r="B122" s="49" t="inlineStr">
        <is>
          <t>Added</t>
        </is>
      </c>
      <c r="C122" s="49" t="inlineStr">
        <is>
          <t>Unknown URLs show a 404 page</t>
        </is>
      </c>
      <c r="D122" s="49" t="inlineStr">
        <is>
          <t>New sheet PRIVACY_CALLS; SRS NFR</t>
        </is>
      </c>
    </row>
    <row r="123">
      <c r="A123" s="49" t="inlineStr">
        <is>
          <t>CALL-12</t>
        </is>
      </c>
      <c r="B123" s="49" t="inlineStr">
        <is>
          <t>Added</t>
        </is>
      </c>
      <c r="C123" s="49" t="inlineStr">
        <is>
          <t>Admin can review emergency call records</t>
        </is>
      </c>
      <c r="D123" s="49" t="inlineStr">
        <is>
          <t>New sheet PRIVACY_CALLS; beyond SRS</t>
        </is>
      </c>
    </row>
    <row r="124">
      <c r="A124" s="49" t="inlineStr">
        <is>
          <t>UX-01</t>
        </is>
      </c>
      <c r="B124" s="49" t="inlineStr">
        <is>
          <t>Added</t>
        </is>
      </c>
      <c r="C124" s="49" t="inlineStr">
        <is>
          <t>App stays in portrait when the phone is rotated</t>
        </is>
      </c>
      <c r="D124" s="49" t="inlineStr">
        <is>
          <t>New sheet PRIVACY_CALLS; SRS NFR</t>
        </is>
      </c>
    </row>
    <row r="125">
      <c r="A125" s="49" t="inlineStr">
        <is>
          <t>UX-02</t>
        </is>
      </c>
      <c r="B125" s="49" t="inlineStr">
        <is>
          <t>Added</t>
        </is>
      </c>
      <c r="C125" s="49" t="inlineStr">
        <is>
          <t>On a tablet or wide screen the app is centred, not stretched or stuck to one side</t>
        </is>
      </c>
      <c r="D125" s="49" t="inlineStr">
        <is>
          <t>New sheet PRIVACY_CALLS; SRS NFR</t>
        </is>
      </c>
    </row>
    <row r="126">
      <c r="A126" s="49" t="inlineStr">
        <is>
          <t>UX-04</t>
        </is>
      </c>
      <c r="B126" s="49" t="inlineStr">
        <is>
          <t>Added</t>
        </is>
      </c>
      <c r="C126" s="49" t="inlineStr">
        <is>
          <t>Checkout shows clear progress and a Stripe sheet in MediFind style</t>
        </is>
      </c>
      <c r="D126" s="49" t="inlineStr">
        <is>
          <t>New sheet PRIVACY_CALLS; beyond SRS</t>
        </is>
      </c>
    </row>
    <row r="127">
      <c r="A127" s="49" t="inlineStr">
        <is>
          <t>UX-05</t>
        </is>
      </c>
      <c r="B127" s="49" t="inlineStr">
        <is>
          <t>Added</t>
        </is>
      </c>
      <c r="C127" s="49" t="inlineStr">
        <is>
          <t>Unrealistic GPS distance is not shown as an ETA</t>
        </is>
      </c>
      <c r="D127" s="49" t="inlineStr">
        <is>
          <t>New sheet PRIVACY_CALLS; SRS FR6.2</t>
        </is>
      </c>
    </row>
    <row r="128">
      <c r="A128" s="49" t="inlineStr">
        <is>
          <t>UX-06</t>
        </is>
      </c>
      <c r="B128" s="49" t="inlineStr">
        <is>
          <t>Added</t>
        </is>
      </c>
      <c r="C128" s="49" t="inlineStr">
        <is>
          <t>Maps show a loading state instead of a blank box</t>
        </is>
      </c>
      <c r="D128" s="49" t="inlineStr">
        <is>
          <t>New sheet PRIVACY_CALLS; SRS NFR</t>
        </is>
      </c>
    </row>
    <row r="129">
      <c r="A129" s="49" t="inlineStr">
        <is>
          <t>UX-07</t>
        </is>
      </c>
      <c r="B129" s="49" t="inlineStr">
        <is>
          <t>Added</t>
        </is>
      </c>
      <c r="C129" s="49" t="inlineStr">
        <is>
          <t>Deaf quick phrases are fully readable on the home screen</t>
        </is>
      </c>
      <c r="D129" s="49" t="inlineStr">
        <is>
          <t>New sheet PRIVACY_CALLS; SRS FR3.1</t>
        </is>
      </c>
    </row>
    <row r="130">
      <c r="A130" s="49" t="inlineStr">
        <is>
          <t>UX-03</t>
        </is>
      </c>
      <c r="B130" s="49" t="inlineStr">
        <is>
          <t>Added</t>
        </is>
      </c>
      <c r="C130" s="49" t="inlineStr">
        <is>
          <t>The same MediFind logo is used in the mobile app and the web portal</t>
        </is>
      </c>
      <c r="D130" s="49" t="inlineStr">
        <is>
          <t>New sheet PRIVACY_CALLS; SRS NFR</t>
        </is>
      </c>
    </row>
    <row r="131">
      <c r="A131" s="49" t="inlineStr">
        <is>
          <t>MED-01</t>
        </is>
      </c>
      <c r="B131" s="49" t="inlineStr">
        <is>
          <t>Added</t>
        </is>
      </c>
      <c r="C131" s="49" t="inlineStr">
        <is>
          <t>Patient creates and edits the medical profile</t>
        </is>
      </c>
      <c r="D131" s="49" t="inlineStr">
        <is>
          <t>New sheet MEDICAL; SRS FR2.1, FR2.2</t>
        </is>
      </c>
    </row>
    <row r="132">
      <c r="A132" s="49" t="inlineStr">
        <is>
          <t>MED-02</t>
        </is>
      </c>
      <c r="B132" s="49" t="inlineStr">
        <is>
          <t>Added</t>
        </is>
      </c>
      <c r="C132" s="49" t="inlineStr">
        <is>
          <t>Saving the medical profile keeps emergency contacts and quick phrases</t>
        </is>
      </c>
      <c r="D132" s="49" t="inlineStr">
        <is>
          <t>New sheet MEDICAL; SRS FR2.1</t>
        </is>
      </c>
    </row>
    <row r="133">
      <c r="A133" s="49" t="inlineStr">
        <is>
          <t>MED-03</t>
        </is>
      </c>
      <c r="B133" s="49" t="inlineStr">
        <is>
          <t>Added</t>
        </is>
      </c>
      <c r="C133" s="49" t="inlineStr">
        <is>
          <t>Patient adds, calls and deletes emergency contacts</t>
        </is>
      </c>
      <c r="D133" s="49" t="inlineStr">
        <is>
          <t>New sheet MEDICAL; SRS FR2.1</t>
        </is>
      </c>
    </row>
    <row r="134">
      <c r="A134" s="49" t="inlineStr">
        <is>
          <t>MED-04</t>
        </is>
      </c>
      <c r="B134" s="49" t="inlineStr">
        <is>
          <t>Added</t>
        </is>
      </c>
      <c r="C134" s="49" t="inlineStr">
        <is>
          <t>Sensitive medical fields are encrypted at rest</t>
        </is>
      </c>
      <c r="D134" s="49" t="inlineStr">
        <is>
          <t>New sheet MEDICAL; SRS FR2.2</t>
        </is>
      </c>
    </row>
    <row r="135">
      <c r="A135" s="49" t="inlineStr">
        <is>
          <t>MED-05</t>
        </is>
      </c>
      <c r="B135" s="49" t="inlineStr">
        <is>
          <t>Added</t>
        </is>
      </c>
      <c r="C135" s="49" t="inlineStr">
        <is>
          <t>Upload a report from camera, gallery (image) and PDF</t>
        </is>
      </c>
      <c r="D135" s="49" t="inlineStr">
        <is>
          <t>New sheet MEDICAL; SRS FR2.3</t>
        </is>
      </c>
    </row>
    <row r="136">
      <c r="A136" s="49" t="inlineStr">
        <is>
          <t>MED-06</t>
        </is>
      </c>
      <c r="B136" s="49" t="inlineStr">
        <is>
          <t>Added</t>
        </is>
      </c>
      <c r="C136" s="49" t="inlineStr">
        <is>
          <t>Unsupported or oversized files are rejected with a clear message</t>
        </is>
      </c>
      <c r="D136" s="49" t="inlineStr">
        <is>
          <t>New sheet MEDICAL; SRS FR2.3</t>
        </is>
      </c>
    </row>
    <row r="137">
      <c r="A137" s="49" t="inlineStr">
        <is>
          <t>MED-07</t>
        </is>
      </c>
      <c r="B137" s="49" t="inlineStr">
        <is>
          <t>Added</t>
        </is>
      </c>
      <c r="C137" s="49" t="inlineStr">
        <is>
          <t>View, rename and delete a report</t>
        </is>
      </c>
      <c r="D137" s="49" t="inlineStr">
        <is>
          <t>New sheet MEDICAL; SRS FR2.4</t>
        </is>
      </c>
    </row>
    <row r="138">
      <c r="A138" s="49" t="inlineStr">
        <is>
          <t>MED-08</t>
        </is>
      </c>
      <c r="B138" s="49" t="inlineStr">
        <is>
          <t>Added</t>
        </is>
      </c>
      <c r="C138" s="49" t="inlineStr">
        <is>
          <t>Assigned responder receives the patient medical summary on accept</t>
        </is>
      </c>
      <c r="D138" s="49" t="inlineStr">
        <is>
          <t>New sheet MEDICAL; SRS FR2.5</t>
        </is>
      </c>
    </row>
    <row r="139">
      <c r="A139" s="49" t="inlineStr">
        <is>
          <t>MED-09</t>
        </is>
      </c>
      <c r="B139" s="49" t="inlineStr">
        <is>
          <t>Added</t>
        </is>
      </c>
      <c r="C139" s="49" t="inlineStr">
        <is>
          <t>Report files are visible only to the patient, linked caregivers, the active responder and admins</t>
        </is>
      </c>
      <c r="D139" s="49" t="inlineStr">
        <is>
          <t>New sheet MEDICAL; SRS FR2.6</t>
        </is>
      </c>
    </row>
    <row r="140">
      <c r="A140" s="49" t="inlineStr">
        <is>
          <t>SEC-01</t>
        </is>
      </c>
      <c r="B140" s="49" t="inlineStr">
        <is>
          <t>Added</t>
        </is>
      </c>
      <c r="C140" s="49" t="inlineStr">
        <is>
          <t>SOS requires press-and-hold before it starts</t>
        </is>
      </c>
      <c r="D140" s="49" t="inlineStr">
        <is>
          <t>New sheet SECURITY_SOS; SRS FR4.1</t>
        </is>
      </c>
    </row>
    <row r="141">
      <c r="A141" s="49" t="inlineStr">
        <is>
          <t>SEC-02</t>
        </is>
      </c>
      <c r="B141" s="49" t="inlineStr">
        <is>
          <t>Added</t>
        </is>
      </c>
      <c r="C141" s="49" t="inlineStr">
        <is>
          <t>Cancelling during the 60-second countdown sends nothing to the server</t>
        </is>
      </c>
      <c r="D141" s="49" t="inlineStr">
        <is>
          <t>New sheet SECURITY_SOS; SRS FR4.3</t>
        </is>
      </c>
    </row>
    <row r="142">
      <c r="A142" s="49" t="inlineStr">
        <is>
          <t>SEC-03</t>
        </is>
      </c>
      <c r="B142" s="49" t="inlineStr">
        <is>
          <t>Added</t>
        </is>
      </c>
      <c r="C142" s="49" t="inlineStr">
        <is>
          <t>SOS from a mock (fake) GPS location is refused in production</t>
        </is>
      </c>
      <c r="D142" s="49" t="inlineStr">
        <is>
          <t>New sheet SECURITY_SOS; SRS FR4.2</t>
        </is>
      </c>
    </row>
    <row r="143">
      <c r="A143" s="49" t="inlineStr">
        <is>
          <t>SEC-04</t>
        </is>
      </c>
      <c r="B143" s="49" t="inlineStr">
        <is>
          <t>Added</t>
        </is>
      </c>
      <c r="C143" s="49" t="inlineStr">
        <is>
          <t>More than 5 SOS in one hour is refused</t>
        </is>
      </c>
      <c r="D143" s="49" t="inlineStr">
        <is>
          <t>New sheet SECURITY_SOS; SRS FR4.5</t>
        </is>
      </c>
    </row>
    <row r="144">
      <c r="A144" s="49" t="inlineStr">
        <is>
          <t>SEC-05</t>
        </is>
      </c>
      <c r="B144" s="49" t="inlineStr">
        <is>
          <t>Added</t>
        </is>
      </c>
      <c r="C144" s="49" t="inlineStr">
        <is>
          <t>SOS outside Pakistan coordinates is refused</t>
        </is>
      </c>
      <c r="D144" s="49" t="inlineStr">
        <is>
          <t>New sheet SECURITY_SOS; SRS FR4.2</t>
        </is>
      </c>
    </row>
    <row r="145">
      <c r="A145" s="49" t="inlineStr">
        <is>
          <t>SEC-06</t>
        </is>
      </c>
      <c r="B145" s="49" t="inlineStr">
        <is>
          <t>Added</t>
        </is>
      </c>
      <c r="C145" s="49" t="inlineStr">
        <is>
          <t>Responder must add a note when closing as False alarm or Patient not found</t>
        </is>
      </c>
      <c r="D145" s="49" t="inlineStr">
        <is>
          <t>New sheet SECURITY_SOS; SRS FR6.2</t>
        </is>
      </c>
    </row>
    <row r="146">
      <c r="A146" s="49" t="inlineStr">
        <is>
          <t>SEC-07</t>
        </is>
      </c>
      <c r="B146" s="49" t="inlineStr">
        <is>
          <t>Added</t>
        </is>
      </c>
      <c r="C146" s="49" t="inlineStr">
        <is>
          <t>Patient is warned when an SOS is marked as a false alarm</t>
        </is>
      </c>
      <c r="D146" s="49" t="inlineStr">
        <is>
          <t>New sheet SECURITY_SOS; beyond SRS</t>
        </is>
      </c>
    </row>
    <row r="147">
      <c r="A147" s="49" t="inlineStr">
        <is>
          <t>SEC-08</t>
        </is>
      </c>
      <c r="B147" s="49" t="inlineStr">
        <is>
          <t>Added</t>
        </is>
      </c>
      <c r="C147" s="49" t="inlineStr">
        <is>
          <t>3 false alarms in 30 days alerts admins for review</t>
        </is>
      </c>
      <c r="D147" s="49" t="inlineStr">
        <is>
          <t>New sheet SECURITY_SOS; beyond SRS</t>
        </is>
      </c>
    </row>
    <row r="148">
      <c r="A148" s="49" t="inlineStr">
        <is>
          <t>SEC-09</t>
        </is>
      </c>
      <c r="B148" s="49" t="inlineStr">
        <is>
          <t>Added</t>
        </is>
      </c>
      <c r="C148" s="49" t="inlineStr">
        <is>
          <t>Patient-cancelled SOS never counts as a false alarm</t>
        </is>
      </c>
      <c r="D148" s="49" t="inlineStr">
        <is>
          <t>New sheet SECURITY_SOS; beyond SRS</t>
        </is>
      </c>
    </row>
    <row r="149">
      <c r="A149" s="49" t="inlineStr">
        <is>
          <t>SEC-10</t>
        </is>
      </c>
      <c r="B149" s="49" t="inlineStr">
        <is>
          <t>Added</t>
        </is>
      </c>
      <c r="C149" s="49" t="inlineStr">
        <is>
          <t>Refresh token cannot be used as an access token</t>
        </is>
      </c>
      <c r="D149" s="49" t="inlineStr">
        <is>
          <t>New sheet SECURITY_SOS; SRS FR1.6</t>
        </is>
      </c>
    </row>
    <row r="150">
      <c r="A150" s="49" t="inlineStr">
        <is>
          <t>SEC-11</t>
        </is>
      </c>
      <c r="B150" s="49" t="inlineStr">
        <is>
          <t>Added</t>
        </is>
      </c>
      <c r="C150" s="49" t="inlineStr">
        <is>
          <t>Users cannot join emergency or chat rooms they do not belong to</t>
        </is>
      </c>
      <c r="D150" s="49" t="inlineStr">
        <is>
          <t>New sheet SECURITY_SOS; SRS FR1.6</t>
        </is>
      </c>
    </row>
    <row r="151">
      <c r="A151" s="49" t="inlineStr">
        <is>
          <t>SEC-12</t>
        </is>
      </c>
      <c r="B151" s="49" t="inlineStr">
        <is>
          <t>Added</t>
        </is>
      </c>
      <c r="C151" s="49" t="inlineStr">
        <is>
          <t>Paid plan upgrade requires a verified Stripe payment</t>
        </is>
      </c>
      <c r="D151" s="49" t="inlineStr">
        <is>
          <t>New sheet SECURITY_SOS; beyond SRS</t>
        </is>
      </c>
    </row>
    <row r="152">
      <c r="A152" s="49" t="inlineStr">
        <is>
          <t>SEC-13</t>
        </is>
      </c>
      <c r="B152" s="49" t="inlineStr">
        <is>
          <t>Added</t>
        </is>
      </c>
      <c r="C152" s="49" t="inlineStr">
        <is>
          <t>Only the assigned responder can update or resolve an emergency</t>
        </is>
      </c>
      <c r="D152" s="49" t="inlineStr">
        <is>
          <t>New sheet SECURITY_SOS; SRS FR5.1</t>
        </is>
      </c>
    </row>
    <row r="153">
      <c r="A153" s="49" t="inlineStr">
        <is>
          <t>NAV-01</t>
        </is>
      </c>
      <c r="B153" s="49" t="inlineStr">
        <is>
          <t>Added</t>
        </is>
      </c>
      <c r="C153" s="49" t="inlineStr">
        <is>
          <t>Each role has a unified sidebar (AppDrawer) with role-specific items</t>
        </is>
      </c>
      <c r="D153" s="49" t="inlineStr">
        <is>
          <t>New sheet NAVIGATION_UI; SRS FR8.1</t>
        </is>
      </c>
    </row>
    <row r="154">
      <c r="A154" s="49" t="inlineStr">
        <is>
          <t>NAV-02</t>
        </is>
      </c>
      <c r="B154" s="49" t="inlineStr">
        <is>
          <t>Added</t>
        </is>
      </c>
      <c r="C154" s="49" t="inlineStr">
        <is>
          <t>Switching tabs preserves each tab's state and back navigation works</t>
        </is>
      </c>
      <c r="D154" s="49" t="inlineStr">
        <is>
          <t>New sheet NAVIGATION_UI; SRS FR8.2</t>
        </is>
      </c>
    </row>
    <row r="155">
      <c r="A155" s="49" t="inlineStr">
        <is>
          <t>NAV-03</t>
        </is>
      </c>
      <c r="B155" s="49" t="inlineStr">
        <is>
          <t>Added</t>
        </is>
      </c>
      <c r="C155" s="49" t="inlineStr">
        <is>
          <t>Role dashboards show quick action grids</t>
        </is>
      </c>
      <c r="D155" s="49" t="inlineStr">
        <is>
          <t>New sheet NAVIGATION_UI; SRS FR8.3</t>
        </is>
      </c>
    </row>
    <row r="156">
      <c r="A156" s="49" t="inlineStr">
        <is>
          <t>NAV-04</t>
        </is>
      </c>
      <c r="B156" s="49" t="inlineStr">
        <is>
          <t>Added</t>
        </is>
      </c>
      <c r="C156" s="49" t="inlineStr">
        <is>
          <t>Map and chat screens render smoothly (~60 FPS)</t>
        </is>
      </c>
      <c r="D156" s="49" t="inlineStr">
        <is>
          <t>New sheet NAVIGATION_UI; SRS FR8.4</t>
        </is>
      </c>
    </row>
    <row r="157">
      <c r="A157" s="49" t="inlineStr">
        <is>
          <t>NAV-05</t>
        </is>
      </c>
      <c r="B157" s="49" t="inlineStr">
        <is>
          <t>Added</t>
        </is>
      </c>
      <c r="C157" s="49" t="inlineStr">
        <is>
          <t>Large buttons mode enlarges tap targets across screens</t>
        </is>
      </c>
      <c r="D157" s="49" t="inlineStr">
        <is>
          <t>New sheet NAVIGATION_UI; SRS FR3.5</t>
        </is>
      </c>
    </row>
    <row r="158">
      <c r="A158" s="49" t="inlineStr">
        <is>
          <t>PRF-01</t>
        </is>
      </c>
      <c r="B158" s="49" t="inlineStr">
        <is>
          <t>Re-classified</t>
        </is>
      </c>
      <c r="C158" s="49" t="inlineStr">
        <is>
          <t>Marked "Beyond SRS" in the SRS Ref column</t>
        </is>
      </c>
      <c r="D158" s="49" t="inlineStr">
        <is>
          <t>Valid feature test with no matching SRS functional requirement</t>
        </is>
      </c>
    </row>
    <row r="159">
      <c r="A159" s="49" t="inlineStr">
        <is>
          <t>PRF-02</t>
        </is>
      </c>
      <c r="B159" s="49" t="inlineStr">
        <is>
          <t>Re-classified</t>
        </is>
      </c>
      <c r="C159" s="49" t="inlineStr">
        <is>
          <t>Marked "Beyond SRS" in the SRS Ref column</t>
        </is>
      </c>
      <c r="D159" s="49" t="inlineStr">
        <is>
          <t>Valid feature test with no matching SRS functional requirement</t>
        </is>
      </c>
    </row>
    <row r="160">
      <c r="A160" s="49" t="inlineStr">
        <is>
          <t>PRF-03</t>
        </is>
      </c>
      <c r="B160" s="49" t="inlineStr">
        <is>
          <t>Re-classified</t>
        </is>
      </c>
      <c r="C160" s="49" t="inlineStr">
        <is>
          <t>Marked "Beyond SRS" in the SRS Ref column</t>
        </is>
      </c>
      <c r="D160" s="49" t="inlineStr">
        <is>
          <t>Valid feature test with no matching SRS functional requirement</t>
        </is>
      </c>
    </row>
    <row r="161">
      <c r="A161" s="49" t="inlineStr">
        <is>
          <t>PRF-05</t>
        </is>
      </c>
      <c r="B161" s="49" t="inlineStr">
        <is>
          <t>Re-classified</t>
        </is>
      </c>
      <c r="C161" s="49" t="inlineStr">
        <is>
          <t>Marked "Beyond SRS" in the SRS Ref column</t>
        </is>
      </c>
      <c r="D161" s="49" t="inlineStr">
        <is>
          <t>Valid feature test with no matching SRS functional requirement</t>
        </is>
      </c>
    </row>
    <row r="162">
      <c r="A162" s="49" t="inlineStr">
        <is>
          <t>NTF-01</t>
        </is>
      </c>
      <c r="B162" s="49" t="inlineStr">
        <is>
          <t>Re-classified</t>
        </is>
      </c>
      <c r="C162" s="49" t="inlineStr">
        <is>
          <t>Marked "Beyond SRS" in the SRS Ref column</t>
        </is>
      </c>
      <c r="D162" s="49" t="inlineStr">
        <is>
          <t>Valid feature test with no matching SRS functional requirement</t>
        </is>
      </c>
    </row>
    <row r="163">
      <c r="A163" s="49" t="inlineStr">
        <is>
          <t>NTF-02</t>
        </is>
      </c>
      <c r="B163" s="49" t="inlineStr">
        <is>
          <t>Re-classified</t>
        </is>
      </c>
      <c r="C163" s="49" t="inlineStr">
        <is>
          <t>Marked "Beyond SRS" in the SRS Ref column</t>
        </is>
      </c>
      <c r="D163" s="49" t="inlineStr">
        <is>
          <t>Valid feature test with no matching SRS functional requirement</t>
        </is>
      </c>
    </row>
    <row r="164">
      <c r="A164" s="49" t="inlineStr">
        <is>
          <t>NTF-03</t>
        </is>
      </c>
      <c r="B164" s="49" t="inlineStr">
        <is>
          <t>Re-classified</t>
        </is>
      </c>
      <c r="C164" s="49" t="inlineStr">
        <is>
          <t>Marked "Beyond SRS" in the SRS Ref column</t>
        </is>
      </c>
      <c r="D164" s="49" t="inlineStr">
        <is>
          <t>Valid feature test with no matching SRS functional requirement</t>
        </is>
      </c>
    </row>
    <row r="165">
      <c r="A165" s="49" t="inlineStr">
        <is>
          <t>NTF-04</t>
        </is>
      </c>
      <c r="B165" s="49" t="inlineStr">
        <is>
          <t>Re-classified</t>
        </is>
      </c>
      <c r="C165" s="49" t="inlineStr">
        <is>
          <t>Marked "Beyond SRS" in the SRS Ref column</t>
        </is>
      </c>
      <c r="D165" s="49" t="inlineStr">
        <is>
          <t>Valid feature test with no matching SRS functional requirement</t>
        </is>
      </c>
    </row>
    <row r="166">
      <c r="A166" s="49" t="inlineStr">
        <is>
          <t>NTF-05</t>
        </is>
      </c>
      <c r="B166" s="49" t="inlineStr">
        <is>
          <t>Re-classified</t>
        </is>
      </c>
      <c r="C166" s="49" t="inlineStr">
        <is>
          <t>Marked "Beyond SRS" in the SRS Ref column</t>
        </is>
      </c>
      <c r="D166" s="49" t="inlineStr">
        <is>
          <t>Valid feature test with no matching SRS functional requirement</t>
        </is>
      </c>
    </row>
    <row r="167">
      <c r="A167" s="49" t="inlineStr">
        <is>
          <t>NTF-07</t>
        </is>
      </c>
      <c r="B167" s="49" t="inlineStr">
        <is>
          <t>Re-classified</t>
        </is>
      </c>
      <c r="C167" s="49" t="inlineStr">
        <is>
          <t>Marked "Beyond SRS" in the SRS Ref column</t>
        </is>
      </c>
      <c r="D167" s="49" t="inlineStr">
        <is>
          <t>Valid feature test with no matching SRS functional requirement</t>
        </is>
      </c>
    </row>
    <row r="168">
      <c r="A168" s="49" t="inlineStr">
        <is>
          <t>NTF-08</t>
        </is>
      </c>
      <c r="B168" s="49" t="inlineStr">
        <is>
          <t>Re-classified</t>
        </is>
      </c>
      <c r="C168" s="49" t="inlineStr">
        <is>
          <t>Marked "Beyond SRS" in the SRS Ref column</t>
        </is>
      </c>
      <c r="D168" s="49" t="inlineStr">
        <is>
          <t>Valid feature test with no matching SRS functional requirement</t>
        </is>
      </c>
    </row>
    <row r="169">
      <c r="A169" s="49" t="inlineStr">
        <is>
          <t>ACC-06</t>
        </is>
      </c>
      <c r="B169" s="49" t="inlineStr">
        <is>
          <t>Re-classified</t>
        </is>
      </c>
      <c r="C169" s="49" t="inlineStr">
        <is>
          <t>Marked "Beyond SRS" in the SRS Ref column</t>
        </is>
      </c>
      <c r="D169" s="49" t="inlineStr">
        <is>
          <t>Valid feature test with no matching SRS functional requirement</t>
        </is>
      </c>
    </row>
    <row r="170">
      <c r="A170" s="49" t="inlineStr">
        <is>
          <t>ACC-07</t>
        </is>
      </c>
      <c r="B170" s="49" t="inlineStr">
        <is>
          <t>Re-classified</t>
        </is>
      </c>
      <c r="C170" s="49" t="inlineStr">
        <is>
          <t>Marked "Beyond SRS" in the SRS Ref column</t>
        </is>
      </c>
      <c r="D170" s="49" t="inlineStr">
        <is>
          <t>Valid feature test with no matching SRS functional requirement</t>
        </is>
      </c>
    </row>
    <row r="171">
      <c r="A171" s="49" t="inlineStr">
        <is>
          <t>ACC-11</t>
        </is>
      </c>
      <c r="B171" s="49" t="inlineStr">
        <is>
          <t>Re-classified</t>
        </is>
      </c>
      <c r="C171" s="49" t="inlineStr">
        <is>
          <t>Marked "Beyond SRS" in the SRS Ref column</t>
        </is>
      </c>
      <c r="D171" s="49" t="inlineStr">
        <is>
          <t>Valid feature test with no matching SRS functional requirement</t>
        </is>
      </c>
    </row>
    <row r="172">
      <c r="A172" s="49" t="inlineStr">
        <is>
          <t>AUTH-12</t>
        </is>
      </c>
      <c r="B172" s="49" t="inlineStr">
        <is>
          <t>Re-classified</t>
        </is>
      </c>
      <c r="C172" s="49" t="inlineStr">
        <is>
          <t>Marked "Beyond SRS" in the SRS Ref column</t>
        </is>
      </c>
      <c r="D172" s="49" t="inlineStr">
        <is>
          <t>Valid feature test with no matching SRS functional requirement</t>
        </is>
      </c>
    </row>
    <row r="173">
      <c r="A173" s="49" t="inlineStr">
        <is>
          <t>API-04</t>
        </is>
      </c>
      <c r="B173" s="49" t="inlineStr">
        <is>
          <t>Re-classified</t>
        </is>
      </c>
      <c r="C173" s="49" t="inlineStr">
        <is>
          <t>Marked "Beyond SRS" in the SRS Ref column</t>
        </is>
      </c>
      <c r="D173" s="49" t="inlineStr">
        <is>
          <t>Valid feature test with no matching SRS functional requirement</t>
        </is>
      </c>
    </row>
    <row r="174">
      <c r="A174" s="49" t="inlineStr">
        <is>
          <t>API-08</t>
        </is>
      </c>
      <c r="B174" s="49" t="inlineStr">
        <is>
          <t>Re-classified</t>
        </is>
      </c>
      <c r="C174" s="49" t="inlineStr">
        <is>
          <t>Marked "Beyond SRS" in the SRS Ref column</t>
        </is>
      </c>
      <c r="D174" s="49" t="inlineStr">
        <is>
          <t>Valid feature test with no matching SRS functional requirement</t>
        </is>
      </c>
    </row>
    <row r="175">
      <c r="A175" s="49" t="inlineStr">
        <is>
          <t>API-09</t>
        </is>
      </c>
      <c r="B175" s="49" t="inlineStr">
        <is>
          <t>Re-classified</t>
        </is>
      </c>
      <c r="C175" s="49" t="inlineStr">
        <is>
          <t>Marked "Beyond SRS" in the SRS Ref column</t>
        </is>
      </c>
      <c r="D175" s="49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2026-09-18T12:30:17Z</dcterms:created>
  <dcterms:modified xmlns:dcterms="http://purl.org/dc/terms/" xmlns:xsi="http://www.w3.org/2001/XMLSchema-instance" xsi:type="dcterms:W3CDTF">2026-09-18T12:30:17Z</dcterms:modified>
</cp:coreProperties>
</file>