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OFILE" sheetId="11" state="visible" r:id="rId11"/>
    <sheet xmlns:r="http://schemas.openxmlformats.org/officeDocument/2006/relationships" name="ACCESSIBILITY" sheetId="12" state="visible" r:id="rId12"/>
    <sheet xmlns:r="http://schemas.openxmlformats.org/officeDocument/2006/relationships" name="NOTIFICATIONS" sheetId="13" state="visible" r:id="rId13"/>
    <sheet xmlns:r="http://schemas.openxmlformats.org/officeDocument/2006/relationships" name="NAVIGATION_UI" sheetId="14" state="visible" r:id="rId14"/>
    <sheet xmlns:r="http://schemas.openxmlformats.org/officeDocument/2006/relationships" name="ADMIN_PORTAL" sheetId="15" state="visible" r:id="rId15"/>
    <sheet xmlns:r="http://schemas.openxmlformats.org/officeDocument/2006/relationships" name="BACKEND_API" sheetId="16" state="visible" r:id="rId16"/>
    <sheet xmlns:r="http://schemas.openxmlformats.org/officeDocument/2006/relationships" name="CHANGE_LOG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5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2.1 (aligned with SRS; 60-second SOS countdown;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60-second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PROFILE</t>
        </is>
      </c>
      <c r="C27" s="6" t="inlineStr">
        <is>
          <t>View/Edit Profile, Avatar Upload, Account Deletion (beyond SRS)</t>
        </is>
      </c>
    </row>
    <row r="28">
      <c r="B28" s="13" t="inlineStr">
        <is>
          <t>ACCESSIBILITY</t>
        </is>
      </c>
      <c r="C28" s="6" t="inlineStr">
        <is>
          <t>Deaf Mode, High Contrast, Font Scaling, Voice Guidance, Vibration</t>
        </is>
      </c>
    </row>
    <row r="29">
      <c r="B29" s="13" t="inlineStr">
        <is>
          <t>NOTIFICATIONS</t>
        </is>
      </c>
      <c r="C29" s="6" t="inlineStr">
        <is>
          <t>Self-hosted Push, In-App, Broadcast, Admin Web Portal</t>
        </is>
      </c>
    </row>
    <row r="30">
      <c r="B30" s="13" t="inlineStr">
        <is>
          <t>NAVIGATION_UI</t>
        </is>
      </c>
      <c r="C30" s="6" t="inlineStr">
        <is>
          <t>Sidebar, Stateful Routing, Quick Actions, Performance</t>
        </is>
      </c>
    </row>
    <row r="31">
      <c r="B31" s="13" t="inlineStr">
        <is>
          <t>ADMIN_PORTAL</t>
        </is>
      </c>
      <c r="C31" s="6" t="inlineStr">
        <is>
          <t>User Management, Verification, Dashboard, SOS Logistics</t>
        </is>
      </c>
    </row>
    <row r="32">
      <c r="B32" s="13" t="inlineStr">
        <is>
          <t>BACKEND_API</t>
        </is>
      </c>
      <c r="C32" s="6" t="inlineStr">
        <is>
          <t>REST Endpoints, Auth Middleware, Sockets, Error Handling</t>
        </is>
      </c>
    </row>
    <row r="33">
      <c r="B33" s="13" t="inlineStr">
        <is>
          <t>SUMMARY</t>
        </is>
      </c>
      <c r="C33" s="6" t="inlineStr">
        <is>
          <t>Pass / Fail / Pending counts per area (formulas)</t>
        </is>
      </c>
    </row>
    <row r="34">
      <c r="B34" s="13" t="inlineStr">
        <is>
          <t>SRS_TRACEABILITY</t>
        </is>
      </c>
      <c r="C34" s="6" t="inlineStr">
        <is>
          <t>Every SRS functional requirement mapped to its test cases</t>
        </is>
      </c>
    </row>
    <row r="35">
      <c r="B35" s="13" t="inlineStr">
        <is>
          <t>CHANGE_LOG</t>
        </is>
      </c>
      <c r="C35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PROFILE</t>
        </is>
      </c>
      <c r="C11" s="19">
        <f>COUNTA(PROFILE!$A$4:$A$9)-COUNTIF(PROFILE!$A$4:$A$9,"  *")</f>
        <v/>
      </c>
      <c r="D11" s="19">
        <f>COUNTIF(PROFILE!$H$4:$H$9,"PASS")</f>
        <v/>
      </c>
      <c r="E11" s="19">
        <f>COUNTIF(PROFILE!$H$4:$H$9,"FAIL")</f>
        <v/>
      </c>
      <c r="F11" s="19">
        <f>COUNTIF(PROFILE!$H$4:$H$9,"PENDING")</f>
        <v/>
      </c>
      <c r="G11" s="19">
        <f>COUNTIF(PROFILE!$H$4:$H$9,"BLOCKED")</f>
        <v/>
      </c>
      <c r="H11" s="19">
        <f>COUNTIF(PROFILE!$H$4:$H$9,"N/A")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ACCESSIBILITY</t>
        </is>
      </c>
      <c r="C12" s="16">
        <f>COUNTA(ACCESSIBILITY!$A$4:$A$22)-COUNTIF(ACCESSIBILITY!$A$4:$A$22,"  *")</f>
        <v/>
      </c>
      <c r="D12" s="16">
        <f>COUNTIF(ACCESSIBILITY!$H$4:$H$22,"PASS")</f>
        <v/>
      </c>
      <c r="E12" s="16">
        <f>COUNTIF(ACCESSIBILITY!$H$4:$H$22,"FAIL")</f>
        <v/>
      </c>
      <c r="F12" s="16">
        <f>COUNTIF(ACCESSIBILITY!$H$4:$H$22,"PENDING")</f>
        <v/>
      </c>
      <c r="G12" s="16">
        <f>COUNTIF(ACCESSIBILITY!$H$4:$H$22,"BLOCKED")</f>
        <v/>
      </c>
      <c r="H12" s="16">
        <f>COUNTIF(ACCESSIBILITY!$H$4:$H$22,"N/A")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NOTIFICATIONS</t>
        </is>
      </c>
      <c r="C13" s="19">
        <f>COUNTA(NOTIFICATIONS!$A$4:$A$19)-COUNTIF(NOTIFICATIONS!$A$4:$A$19,"  *")</f>
        <v/>
      </c>
      <c r="D13" s="19">
        <f>COUNTIF(NOTIFICATIONS!$H$4:$H$19,"PASS")</f>
        <v/>
      </c>
      <c r="E13" s="19">
        <f>COUNTIF(NOTIFICATIONS!$H$4:$H$19,"FAIL")</f>
        <v/>
      </c>
      <c r="F13" s="19">
        <f>COUNTIF(NOTIFICATIONS!$H$4:$H$19,"PENDING")</f>
        <v/>
      </c>
      <c r="G13" s="19">
        <f>COUNTIF(NOTIFICATIONS!$H$4:$H$19,"BLOCKED")</f>
        <v/>
      </c>
      <c r="H13" s="19">
        <f>COUNTIF(NOTIFICATIONS!$H$4:$H$19,"N/A")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NAVIGATION_UI</t>
        </is>
      </c>
      <c r="C14" s="16">
        <f>COUNTA(NAVIGATION_UI!$A$4:$A$8)-COUNTIF(NAVIGATION_UI!$A$4:$A$8,"  *")</f>
        <v/>
      </c>
      <c r="D14" s="16">
        <f>COUNTIF(NAVIGATION_UI!$H$4:$H$8,"PASS")</f>
        <v/>
      </c>
      <c r="E14" s="16">
        <f>COUNTIF(NAVIGATION_UI!$H$4:$H$8,"FAIL")</f>
        <v/>
      </c>
      <c r="F14" s="16">
        <f>COUNTIF(NAVIGATION_UI!$H$4:$H$8,"PENDING")</f>
        <v/>
      </c>
      <c r="G14" s="16">
        <f>COUNTIF(NAVIGATION_UI!$H$4:$H$8,"BLOCKED")</f>
        <v/>
      </c>
      <c r="H14" s="16">
        <f>COUNTIF(NAVIGATION_UI!$H$4:$H$8,"N/A")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ADMIN_PORTAL</t>
        </is>
      </c>
      <c r="C15" s="19">
        <f>COUNTA(ADMIN_PORTAL!$A$4:$A$19)-COUNTIF(ADMIN_PORTAL!$A$4:$A$19,"  *")</f>
        <v/>
      </c>
      <c r="D15" s="19">
        <f>COUNTIF(ADMIN_PORTAL!$H$4:$H$19,"PASS")</f>
        <v/>
      </c>
      <c r="E15" s="19">
        <f>COUNTIF(ADMIN_PORTAL!$H$4:$H$19,"FAIL")</f>
        <v/>
      </c>
      <c r="F15" s="19">
        <f>COUNTIF(ADMIN_PORTAL!$H$4:$H$19,"PENDING")</f>
        <v/>
      </c>
      <c r="G15" s="19">
        <f>COUNTIF(ADMIN_PORTAL!$H$4:$H$19,"BLOCKED")</f>
        <v/>
      </c>
      <c r="H15" s="19">
        <f>COUNTIF(ADMIN_PORTAL!$H$4:$H$19,"N/A")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BACKEND_API</t>
        </is>
      </c>
      <c r="C16" s="16">
        <f>COUNTA(BACKEND_API!$A$4:$A$23)-COUNTIF(BACKEND_API!$A$4:$A$23,"  *")</f>
        <v/>
      </c>
      <c r="D16" s="16">
        <f>COUNTIF(BACKEND_API!$H$4:$H$23,"PASS")</f>
        <v/>
      </c>
      <c r="E16" s="16">
        <f>COUNTIF(BACKEND_API!$H$4:$H$23,"FAIL")</f>
        <v/>
      </c>
      <c r="F16" s="16">
        <f>COUNTIF(BACKEND_API!$H$4:$H$23,"PENDING")</f>
        <v/>
      </c>
      <c r="G16" s="16">
        <f>COUNTIF(BACKEND_API!$H$4:$H$23,"BLOCKED")</f>
        <v/>
      </c>
      <c r="H16" s="16">
        <f>COUNTIF(BACKEND_API!$H$4:$H$23,"N/A")</f>
        <v/>
      </c>
      <c r="I16" s="18">
        <f>IF(C16-H16=0,0,D16/(C16-H16))</f>
        <v/>
      </c>
    </row>
    <row r="17">
      <c r="A17" s="22" t="n"/>
      <c r="B17" s="23" t="inlineStr">
        <is>
          <t>TOTAL</t>
        </is>
      </c>
      <c r="C17" s="22">
        <f>SUM(C4:C16)</f>
        <v/>
      </c>
      <c r="D17" s="22">
        <f>SUM(D4:D16)</f>
        <v/>
      </c>
      <c r="E17" s="22">
        <f>SUM(E4:E16)</f>
        <v/>
      </c>
      <c r="F17" s="22">
        <f>SUM(F4:F16)</f>
        <v/>
      </c>
      <c r="G17" s="22">
        <f>SUM(G4:G16)</f>
        <v/>
      </c>
      <c r="H17" s="22">
        <f>SUM(H4:H16)</f>
        <v/>
      </c>
      <c r="I17" s="24">
        <f>IF(C17-H17=0,0,D17/(C17-H17))</f>
        <v/>
      </c>
    </row>
    <row r="19">
      <c r="B19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Cancellation window with countdown timer (SRS: 10 s; implemented as 60 s by project decision)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60-second countdown before the alert is sent</t>
        </is>
      </c>
      <c r="E4" s="39" t="inlineStr">
        <is>
          <t>1. Press and hold SOS for ~2 s (progress ring fills)
2. Select emergency type
3. Watch the 60-second countdown reach 0 (or tap Send SOS now)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60-second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0" t="inlineStr">
        <is>
          <t>PENDING</t>
        </is>
      </c>
      <c r="I18" s="43" t="n"/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5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60-second countdown sends nothing to the server</t>
        </is>
      </c>
      <c r="E5" s="43" t="inlineStr">
        <is>
          <t>Start SOS and cancel at 30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0" t="inlineStr">
        <is>
          <t>PENDING</t>
        </is>
      </c>
      <c r="I8" s="39" t="n"/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5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5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5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5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5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5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5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5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5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5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5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5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5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5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0" t="inlineStr">
        <is>
          <t>PENDING</t>
        </is>
      </c>
      <c r="I9" s="43" t="n"/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5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5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5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5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2.0</t>
        </is>
      </c>
    </row>
    <row r="2">
      <c r="A2" s="46" t="inlineStr">
        <is>
          <t>Test ID</t>
        </is>
      </c>
      <c r="B2" s="46" t="inlineStr">
        <is>
          <t>Type</t>
        </is>
      </c>
      <c r="C2" s="46" t="inlineStr">
        <is>
          <t>Change</t>
        </is>
      </c>
      <c r="D2" s="46" t="inlineStr">
        <is>
          <t>Reason</t>
        </is>
      </c>
    </row>
    <row r="3">
      <c r="A3" s="47" t="inlineStr">
        <is>
          <t>AUTH-01</t>
        </is>
      </c>
      <c r="B3" s="47" t="inlineStr">
        <is>
          <t>Updated</t>
        </is>
      </c>
      <c r="C3" s="47" t="inlineStr">
        <is>
          <t>Description / steps / expected result corrected</t>
        </is>
      </c>
      <c r="D3" s="47" t="inlineStr">
        <is>
          <t>Patients provide a CNIC number; only responders upload document photos. Verification is by email OTP.</t>
        </is>
      </c>
    </row>
    <row r="4">
      <c r="A4" s="47" t="inlineStr">
        <is>
          <t>AUTH-03</t>
        </is>
      </c>
      <c r="B4" s="47" t="inlineStr">
        <is>
          <t>Updated</t>
        </is>
      </c>
      <c r="C4" s="47" t="inlineStr">
        <is>
          <t>Description / steps / expected result corrected</t>
        </is>
      </c>
      <c r="D4" s="47" t="inlineStr">
        <is>
          <t>Responder application requires CNIC front/back, employee card, driving licence and motorbike documents.</t>
        </is>
      </c>
    </row>
    <row r="5">
      <c r="A5" s="47" t="inlineStr">
        <is>
          <t>AUTH-04</t>
        </is>
      </c>
      <c r="B5" s="47" t="inlineStr">
        <is>
          <t>Updated</t>
        </is>
      </c>
      <c r="C5" s="47" t="inlineStr">
        <is>
          <t>Description / steps / expected result corrected</t>
        </is>
      </c>
      <c r="D5" s="47" t="inlineStr">
        <is>
          <t>Caregiver–patient linking is done after login by email invitation (supports many-to-many, FR7.2).</t>
        </is>
      </c>
    </row>
    <row r="6">
      <c r="A6" s="47" t="inlineStr">
        <is>
          <t>AUTH-05</t>
        </is>
      </c>
      <c r="B6" s="47" t="inlineStr">
        <is>
          <t>Updated</t>
        </is>
      </c>
      <c r="C6" s="47" t="inlineStr">
        <is>
          <t>Description / steps / expected result corrected</t>
        </is>
      </c>
      <c r="D6" s="47" t="inlineStr">
        <is>
          <t>Matches the actual server message.</t>
        </is>
      </c>
    </row>
    <row r="7">
      <c r="A7" s="47" t="inlineStr">
        <is>
          <t>AUTH-08</t>
        </is>
      </c>
      <c r="B7" s="47" t="inlineStr">
        <is>
          <t>Updated</t>
        </is>
      </c>
      <c r="C7" s="47" t="inlineStr">
        <is>
          <t>Description / steps / expected result corrected</t>
        </is>
      </c>
      <c r="D7" s="47" t="inlineStr">
        <is>
          <t>Matches the actual server message and lockout warning.</t>
        </is>
      </c>
    </row>
    <row r="8">
      <c r="A8" s="47" t="inlineStr">
        <is>
          <t>AUTH-09</t>
        </is>
      </c>
      <c r="B8" s="47" t="inlineStr">
        <is>
          <t>Updated</t>
        </is>
      </c>
      <c r="C8" s="47" t="inlineStr">
        <is>
          <t>Description / steps / expected result corrected</t>
        </is>
      </c>
      <c r="D8" s="47" t="inlineStr">
        <is>
          <t>Matches the actual server message.</t>
        </is>
      </c>
    </row>
    <row r="9">
      <c r="A9" s="47" t="inlineStr">
        <is>
          <t>SOS-01</t>
        </is>
      </c>
      <c r="B9" s="47" t="inlineStr">
        <is>
          <t>Updated</t>
        </is>
      </c>
      <c r="C9" s="47" t="inlineStr">
        <is>
          <t>Description / steps / expected result corrected</t>
        </is>
      </c>
      <c r="D9" s="47" t="inlineStr">
        <is>
          <t>Aligned with SRS FR4.1/FR4.3: press-and-hold plus a pre-send countdown (false SOS prevention). The SRS 10 s window was extended to 60 s by project decision; Send SOS now skips the wait.</t>
        </is>
      </c>
    </row>
    <row r="10">
      <c r="A10" s="47" t="inlineStr">
        <is>
          <t>SOS-03</t>
        </is>
      </c>
      <c r="B10" s="47" t="inlineStr">
        <is>
          <t>Updated</t>
        </is>
      </c>
      <c r="C10" s="47" t="inlineStr">
        <is>
          <t>Description / steps / expected result corrected</t>
        </is>
      </c>
      <c r="D10" s="47" t="inlineStr">
        <is>
          <t>Countdown cancellation must not create any server record (SRS FR4.3).</t>
        </is>
      </c>
    </row>
    <row r="11">
      <c r="A11" s="47" t="inlineStr">
        <is>
          <t>SOS-04</t>
        </is>
      </c>
      <c r="B11" s="47" t="inlineStr">
        <is>
          <t>Updated</t>
        </is>
      </c>
      <c r="C11" s="47" t="inlineStr">
        <is>
          <t>Description / steps / expected result corrected</t>
        </is>
      </c>
      <c r="D11" s="47" t="inlineStr">
        <is>
          <t>The app must never send a default/fake location.</t>
        </is>
      </c>
    </row>
    <row r="12">
      <c r="A12" s="47" t="inlineStr">
        <is>
          <t>SOS-06</t>
        </is>
      </c>
      <c r="B12" s="47" t="inlineStr">
        <is>
          <t>Updated</t>
        </is>
      </c>
      <c r="C12" s="47" t="inlineStr">
        <is>
          <t>Description / steps / expected result corrected</t>
        </is>
      </c>
      <c r="D12" s="47" t="inlineStr">
        <is>
          <t>Timeline includes Resolved.</t>
        </is>
      </c>
    </row>
    <row r="13">
      <c r="A13" s="47" t="inlineStr">
        <is>
          <t>RSP-01</t>
        </is>
      </c>
      <c r="B13" s="47" t="inlineStr">
        <is>
          <t>Updated</t>
        </is>
      </c>
      <c r="C13" s="47" t="inlineStr">
        <is>
          <t>Description / steps / expected result corrected</t>
        </is>
      </c>
      <c r="D13" s="47" t="inlineStr">
        <is>
          <t>Dispatch radius is 10 km and push arrives with the app closed (self-hosted push).</t>
        </is>
      </c>
    </row>
    <row r="14">
      <c r="A14" s="47" t="inlineStr">
        <is>
          <t>RSP-02</t>
        </is>
      </c>
      <c r="B14" s="47" t="inlineStr">
        <is>
          <t>Updated</t>
        </is>
      </c>
      <c r="C14" s="47" t="inlineStr">
        <is>
          <t>Description / steps / expected result corrected</t>
        </is>
      </c>
      <c r="D14" s="47" t="inlineStr">
        <is>
          <t>Alert card content as implemented.</t>
        </is>
      </c>
    </row>
    <row r="15">
      <c r="A15" s="47" t="inlineStr">
        <is>
          <t>RSP-05</t>
        </is>
      </c>
      <c r="B15" s="47" t="inlineStr">
        <is>
          <t>Updated</t>
        </is>
      </c>
      <c r="C15" s="47" t="inlineStr">
        <is>
          <t>Description / steps / expected result corrected</t>
        </is>
      </c>
      <c r="D15" s="47" t="inlineStr">
        <is>
          <t>SRS FR5.3 requires medical info and the DEAF flag.</t>
        </is>
      </c>
    </row>
    <row r="16">
      <c r="A16" s="47" t="inlineStr">
        <is>
          <t>RSP-07</t>
        </is>
      </c>
      <c r="B16" s="47" t="inlineStr">
        <is>
          <t>Updated</t>
        </is>
      </c>
      <c r="C16" s="47" t="inlineStr">
        <is>
          <t>Description / steps / expected result corrected</t>
        </is>
      </c>
      <c r="D16" s="47" t="inlineStr">
        <is>
          <t>All nearby responders are alerted at once; unaccepted SOS is re-dispatched after 60 s with admin escalation.</t>
        </is>
      </c>
    </row>
    <row r="17">
      <c r="A17" s="47" t="inlineStr">
        <is>
          <t>RSP-09</t>
        </is>
      </c>
      <c r="B17" s="47" t="inlineStr">
        <is>
          <t>Updated</t>
        </is>
      </c>
      <c r="C17" s="47" t="inlineStr">
        <is>
          <t>Description / steps / expected result corrected</t>
        </is>
      </c>
      <c r="D17" s="47" t="inlineStr">
        <is>
          <t>Arrival and resolution are separate steps; resolution records an outcome.</t>
        </is>
      </c>
    </row>
    <row r="18">
      <c r="A18" s="47" t="inlineStr">
        <is>
          <t>PRF-04</t>
        </is>
      </c>
      <c r="B18" s="47" t="inlineStr">
        <is>
          <t>Updated</t>
        </is>
      </c>
      <c r="C18" s="47" t="inlineStr">
        <is>
          <t>Description / steps / expected result corrected</t>
        </is>
      </c>
      <c r="D18" s="47" t="inlineStr">
        <is>
          <t>Requirement and expected result described different actions.</t>
        </is>
      </c>
    </row>
    <row r="19">
      <c r="A19" s="47" t="inlineStr">
        <is>
          <t>ACC-08</t>
        </is>
      </c>
      <c r="B19" s="47" t="inlineStr">
        <is>
          <t>Updated</t>
        </is>
      </c>
      <c r="C19" s="47" t="inlineStr">
        <is>
          <t>Description / steps / expected result corrected</t>
        </is>
      </c>
      <c r="D19" s="47" t="inlineStr">
        <is>
          <t>SRS FR3.2 requires scaling up to 150%.</t>
        </is>
      </c>
    </row>
    <row r="20">
      <c r="A20" s="47" t="inlineStr">
        <is>
          <t>NTF-06</t>
        </is>
      </c>
      <c r="B20" s="47" t="inlineStr">
        <is>
          <t>Updated</t>
        </is>
      </c>
      <c r="C20" s="47" t="inlineStr">
        <is>
          <t>Description / steps / expected result corrected</t>
        </is>
      </c>
      <c r="D20" s="47" t="inlineStr">
        <is>
          <t>SRS FR7.4 requires haptic alerts for messages.</t>
        </is>
      </c>
    </row>
    <row r="21">
      <c r="A21" s="47" t="inlineStr">
        <is>
          <t>API-02</t>
        </is>
      </c>
      <c r="B21" s="47" t="inlineStr">
        <is>
          <t>Updated</t>
        </is>
      </c>
      <c r="C21" s="47" t="inlineStr">
        <is>
          <t>Description / steps / expected result corrected</t>
        </is>
      </c>
      <c r="D21" s="47" t="inlineStr">
        <is>
          <t>Login returns token + refreshToken.</t>
        </is>
      </c>
    </row>
    <row r="22">
      <c r="A22" s="47" t="inlineStr">
        <is>
          <t>API-03</t>
        </is>
      </c>
      <c r="B22" s="47" t="inlineStr">
        <is>
          <t>Updated</t>
        </is>
      </c>
      <c r="C22" s="47" t="inlineStr">
        <is>
          <t>Description / steps / expected result corrected</t>
        </is>
      </c>
      <c r="D22" s="47" t="inlineStr">
        <is>
          <t>Real path is /api/auth/refresh-token; security check added.</t>
        </is>
      </c>
    </row>
    <row r="23">
      <c r="A23" s="47" t="inlineStr">
        <is>
          <t>API-05</t>
        </is>
      </c>
      <c r="B23" s="47" t="inlineStr">
        <is>
          <t>Updated</t>
        </is>
      </c>
      <c r="C23" s="47" t="inlineStr">
        <is>
          <t>Description / steps / expected result corrected</t>
        </is>
      </c>
      <c r="D23" s="47" t="inlineStr">
        <is>
          <t>Responders are notified with SOS_TRIGGERED notification and push events, not NEW_EMERGENCY.</t>
        </is>
      </c>
    </row>
    <row r="24">
      <c r="A24" s="47" t="inlineStr">
        <is>
          <t>API-06</t>
        </is>
      </c>
      <c r="B24" s="47" t="inlineStr">
        <is>
          <t>Updated</t>
        </is>
      </c>
      <c r="C24" s="47" t="inlineStr">
        <is>
          <t>Description / steps / expected result corrected</t>
        </is>
      </c>
      <c r="D24" s="47" t="inlineStr">
        <is>
          <t>Real endpoint is POST /api/responders/emergencies/:id/accept; concurrency added (FR5.1).</t>
        </is>
      </c>
    </row>
    <row r="25">
      <c r="A25" s="47" t="inlineStr">
        <is>
          <t>API-07</t>
        </is>
      </c>
      <c r="B25" s="47" t="inlineStr">
        <is>
          <t>Updated</t>
        </is>
      </c>
      <c r="C25" s="47" t="inlineStr">
        <is>
          <t>Description / steps / expected result corrected</t>
        </is>
      </c>
      <c r="D25" s="47" t="inlineStr">
        <is>
          <t>Only the assigned responder may update status.</t>
        </is>
      </c>
    </row>
    <row r="26">
      <c r="A26" s="47" t="inlineStr">
        <is>
          <t>API-12</t>
        </is>
      </c>
      <c r="B26" s="47" t="inlineStr">
        <is>
          <t>Updated</t>
        </is>
      </c>
      <c r="C26" s="47" t="inlineStr">
        <is>
          <t>Description / steps / expected result corrected</t>
        </is>
      </c>
      <c r="D26" s="47" t="inlineStr">
        <is>
          <t>Covers registration, report and chat uploads.</t>
        </is>
      </c>
    </row>
    <row r="27">
      <c r="A27" s="47" t="inlineStr">
        <is>
          <t>AUTH-13</t>
        </is>
      </c>
      <c r="B27" s="47" t="inlineStr">
        <is>
          <t>Added</t>
        </is>
      </c>
      <c r="C27" s="47" t="inlineStr">
        <is>
          <t>Account locks for 30 minutes after 5 failed login attempts</t>
        </is>
      </c>
      <c r="D27" s="47" t="inlineStr">
        <is>
          <t>SRS gap FR1.2</t>
        </is>
      </c>
    </row>
    <row r="28">
      <c r="A28" s="47" t="inlineStr">
        <is>
          <t>AUTH-14</t>
        </is>
      </c>
      <c r="B28" s="47" t="inlineStr">
        <is>
          <t>Added</t>
        </is>
      </c>
      <c r="C28" s="47" t="inlineStr">
        <is>
          <t>User resets a forgotten password with an emailed 6-digit OTP</t>
        </is>
      </c>
      <c r="D28" s="47" t="inlineStr">
        <is>
          <t>SRS gap FR1.5</t>
        </is>
      </c>
    </row>
    <row r="29">
      <c r="A29" s="47" t="inlineStr">
        <is>
          <t>AUTH-15</t>
        </is>
      </c>
      <c r="B29" s="47" t="inlineStr">
        <is>
          <t>Added</t>
        </is>
      </c>
      <c r="C29" s="47" t="inlineStr">
        <is>
          <t>Reset/verification code is invalidated after 5 wrong attempts</t>
        </is>
      </c>
      <c r="D29" s="47" t="inlineStr">
        <is>
          <t>SRS gap FR1.5</t>
        </is>
      </c>
    </row>
    <row r="30">
      <c r="A30" s="47" t="inlineStr">
        <is>
          <t>AUTH-16</t>
        </is>
      </c>
      <c r="B30" s="47" t="inlineStr">
        <is>
          <t>Added</t>
        </is>
      </c>
      <c r="C30" s="47" t="inlineStr">
        <is>
          <t>Public registration cannot create an ADMIN account</t>
        </is>
      </c>
      <c r="D30" s="47" t="inlineStr">
        <is>
          <t>SRS gap FR1.4, FR1.6</t>
        </is>
      </c>
    </row>
    <row r="31">
      <c r="A31" s="47" t="inlineStr">
        <is>
          <t>AUTH-17</t>
        </is>
      </c>
      <c r="B31" s="47" t="inlineStr">
        <is>
          <t>Added</t>
        </is>
      </c>
      <c r="C31" s="47" t="inlineStr">
        <is>
          <t>Deactivated account cannot log in and existing sessions stop working</t>
        </is>
      </c>
      <c r="D31" s="47" t="inlineStr">
        <is>
          <t>SRS gap FR9.3</t>
        </is>
      </c>
    </row>
    <row r="32">
      <c r="A32" s="47" t="inlineStr">
        <is>
          <t>SOS-10</t>
        </is>
      </c>
      <c r="B32" s="47" t="inlineStr">
        <is>
          <t>Added</t>
        </is>
      </c>
      <c r="C32" s="47" t="inlineStr">
        <is>
          <t>Patient selects a medical emergency category</t>
        </is>
      </c>
      <c r="D32" s="47" t="inlineStr">
        <is>
          <t>SRS gap FR4.4</t>
        </is>
      </c>
    </row>
    <row r="33">
      <c r="A33" s="47" t="inlineStr">
        <is>
          <t>SOS-11</t>
        </is>
      </c>
      <c r="B33" s="47" t="inlineStr">
        <is>
          <t>Added</t>
        </is>
      </c>
      <c r="C33" s="47" t="inlineStr">
        <is>
          <t>Patient sees responder ETA that updates while the responder moves</t>
        </is>
      </c>
      <c r="D33" s="47" t="inlineStr">
        <is>
          <t>SRS gap FR6.2</t>
        </is>
      </c>
    </row>
    <row r="34">
      <c r="A34" s="47" t="inlineStr">
        <is>
          <t>SOS-12</t>
        </is>
      </c>
      <c r="B34" s="47" t="inlineStr">
        <is>
          <t>Added</t>
        </is>
      </c>
      <c r="C34" s="47" t="inlineStr">
        <is>
          <t>A quick accidental tap on SOS does not start an emergency</t>
        </is>
      </c>
      <c r="D34" s="47" t="inlineStr">
        <is>
          <t>SRS gap FR4.1</t>
        </is>
      </c>
    </row>
    <row r="35">
      <c r="A35" s="47" t="inlineStr">
        <is>
          <t>SOS-13</t>
        </is>
      </c>
      <c r="B35" s="47" t="inlineStr">
        <is>
          <t>Added</t>
        </is>
      </c>
      <c r="C35" s="47" t="inlineStr">
        <is>
          <t>A second SOS while one is open returns the existing emergency (no duplicate dispatch)</t>
        </is>
      </c>
      <c r="D35" s="47" t="inlineStr">
        <is>
          <t>SRS gap FR4.5</t>
        </is>
      </c>
    </row>
    <row r="36">
      <c r="A36" s="47" t="inlineStr">
        <is>
          <t>SOS-14</t>
        </is>
      </c>
      <c r="B36" s="47" t="inlineStr">
        <is>
          <t>Added</t>
        </is>
      </c>
      <c r="C36" s="47" t="inlineStr">
        <is>
          <t>After sending, the patient can still cancel within the server cancellation window</t>
        </is>
      </c>
      <c r="D36" s="47" t="inlineStr">
        <is>
          <t>SRS gap FR4.3</t>
        </is>
      </c>
    </row>
    <row r="37">
      <c r="A37" s="47" t="inlineStr">
        <is>
          <t>SOS-15</t>
        </is>
      </c>
      <c r="B37" s="47" t="inlineStr">
        <is>
          <t>Added</t>
        </is>
      </c>
      <c r="C37" s="47" t="inlineStr">
        <is>
          <t>Offline patient can still call or SMS Rescue 1122</t>
        </is>
      </c>
      <c r="D37" s="47" t="inlineStr">
        <is>
          <t>New feature (beyond SRS)</t>
        </is>
      </c>
    </row>
    <row r="38">
      <c r="A38" s="47" t="inlineStr">
        <is>
          <t>SOS-16</t>
        </is>
      </c>
      <c r="B38" s="47" t="inlineStr">
        <is>
          <t>Added</t>
        </is>
      </c>
      <c r="C38" s="47" t="inlineStr">
        <is>
          <t>Patient rates the responder after resolution (once)</t>
        </is>
      </c>
      <c r="D38" s="47" t="inlineStr">
        <is>
          <t>New feature (beyond SRS)</t>
        </is>
      </c>
    </row>
    <row r="39">
      <c r="A39" s="47" t="inlineStr">
        <is>
          <t>RSP-10</t>
        </is>
      </c>
      <c r="B39" s="47" t="inlineStr">
        <is>
          <t>Added</t>
        </is>
      </c>
      <c r="C39" s="47" t="inlineStr">
        <is>
          <t>Responder resolves the emergency with an outcome</t>
        </is>
      </c>
      <c r="D39" s="47" t="inlineStr">
        <is>
          <t>SRS gap FR6.2</t>
        </is>
      </c>
    </row>
    <row r="40">
      <c r="A40" s="47" t="inlineStr">
        <is>
          <t>RSP-11</t>
        </is>
      </c>
      <c r="B40" s="47" t="inlineStr">
        <is>
          <t>Added</t>
        </is>
      </c>
      <c r="C40" s="47" t="inlineStr">
        <is>
          <t>Only one of two simultaneous accepts succeeds</t>
        </is>
      </c>
      <c r="D40" s="47" t="inlineStr">
        <is>
          <t>SRS gap FR5.1</t>
        </is>
      </c>
    </row>
    <row r="41">
      <c r="A41" s="47" t="inlineStr">
        <is>
          <t>RSP-12</t>
        </is>
      </c>
      <c r="B41" s="47" t="inlineStr">
        <is>
          <t>Added</t>
        </is>
      </c>
      <c r="C41" s="47" t="inlineStr">
        <is>
          <t>Offline responders are not dispatched</t>
        </is>
      </c>
      <c r="D41" s="47" t="inlineStr">
        <is>
          <t>SRS gap FR5.4</t>
        </is>
      </c>
    </row>
    <row r="42">
      <c r="A42" s="47" t="inlineStr">
        <is>
          <t>RSP-13</t>
        </is>
      </c>
      <c r="B42" s="47" t="inlineStr">
        <is>
          <t>Added</t>
        </is>
      </c>
      <c r="C42" s="47" t="inlineStr">
        <is>
          <t>Navigate opens turn-by-turn directions to the patient</t>
        </is>
      </c>
      <c r="D42" s="47" t="inlineStr">
        <is>
          <t>SRS gap FR6.4</t>
        </is>
      </c>
    </row>
    <row r="43">
      <c r="A43" s="47" t="inlineStr">
        <is>
          <t>RSP-14</t>
        </is>
      </c>
      <c r="B43" s="47" t="inlineStr">
        <is>
          <t>Added</t>
        </is>
      </c>
      <c r="C43" s="47" t="inlineStr">
        <is>
          <t>Responder location is shared live every few seconds during an active emergency</t>
        </is>
      </c>
      <c r="D43" s="47" t="inlineStr">
        <is>
          <t>SRS gap FR6.1</t>
        </is>
      </c>
    </row>
    <row r="44">
      <c r="A44" s="47" t="inlineStr">
        <is>
          <t>RSP-15</t>
        </is>
      </c>
      <c r="B44" s="47" t="inlineStr">
        <is>
          <t>Added</t>
        </is>
      </c>
      <c r="C44" s="47" t="inlineStr">
        <is>
          <t>Responder cancelling an accepted job re-dispatches the SOS</t>
        </is>
      </c>
      <c r="D44" s="47" t="inlineStr">
        <is>
          <t>New feature (beyond SRS)</t>
        </is>
      </c>
    </row>
    <row r="45">
      <c r="A45" s="47" t="inlineStr">
        <is>
          <t>CG-07</t>
        </is>
      </c>
      <c r="B45" s="47" t="inlineStr">
        <is>
          <t>Added</t>
        </is>
      </c>
      <c r="C45" s="47" t="inlineStr">
        <is>
          <t>Patient and caregiver link through an email invitation (many-to-many)</t>
        </is>
      </c>
      <c r="D45" s="47" t="inlineStr">
        <is>
          <t>SRS gap FR7.2</t>
        </is>
      </c>
    </row>
    <row r="46">
      <c r="A46" s="47" t="inlineStr">
        <is>
          <t>CG-08</t>
        </is>
      </c>
      <c r="B46" s="47" t="inlineStr">
        <is>
          <t>Added</t>
        </is>
      </c>
      <c r="C46" s="47" t="inlineStr">
        <is>
          <t>Caregiver sees the live map when a linked patient's SOS is accepted</t>
        </is>
      </c>
      <c r="D46" s="47" t="inlineStr">
        <is>
          <t>SRS gap FR6.3, FR6.2</t>
        </is>
      </c>
    </row>
    <row r="47">
      <c r="A47" s="47" t="inlineStr">
        <is>
          <t>CG-09</t>
        </is>
      </c>
      <c r="B47" s="47" t="inlineStr">
        <is>
          <t>Added</t>
        </is>
      </c>
      <c r="C47" s="47" t="inlineStr">
        <is>
          <t>Caregiver receives assigned / arrived / safe updates without duplicate SOS alerts</t>
        </is>
      </c>
      <c r="D47" s="47" t="inlineStr">
        <is>
          <t>SRS gap FR4.6</t>
        </is>
      </c>
    </row>
    <row r="48">
      <c r="A48" s="47" t="inlineStr">
        <is>
          <t>CG-10</t>
        </is>
      </c>
      <c r="B48" s="47" t="inlineStr">
        <is>
          <t>Added</t>
        </is>
      </c>
      <c r="C48" s="47" t="inlineStr">
        <is>
          <t>Caregiver emergency history shows real data</t>
        </is>
      </c>
      <c r="D48" s="47" t="inlineStr">
        <is>
          <t>New feature (beyond SRS)</t>
        </is>
      </c>
    </row>
    <row r="49">
      <c r="A49" s="47" t="inlineStr">
        <is>
          <t>CHT-07</t>
        </is>
      </c>
      <c r="B49" s="47" t="inlineStr">
        <is>
          <t>Added</t>
        </is>
      </c>
      <c r="C49" s="47" t="inlineStr">
        <is>
          <t>Patient and assigned responder chat during an emergency</t>
        </is>
      </c>
      <c r="D49" s="47" t="inlineStr">
        <is>
          <t>SRS gap FR3.4</t>
        </is>
      </c>
    </row>
    <row r="50">
      <c r="A50" s="47" t="inlineStr">
        <is>
          <t>CHT-08</t>
        </is>
      </c>
      <c r="B50" s="47" t="inlineStr">
        <is>
          <t>Added</t>
        </is>
      </c>
      <c r="C50" s="47" t="inlineStr">
        <is>
          <t>One caregiver chats separately with multiple patients</t>
        </is>
      </c>
      <c r="D50" s="47" t="inlineStr">
        <is>
          <t>SRS gap FR7.2</t>
        </is>
      </c>
    </row>
    <row r="51">
      <c r="A51" s="47" t="inlineStr">
        <is>
          <t>CHT-09</t>
        </is>
      </c>
      <c r="B51" s="47" t="inlineStr">
        <is>
          <t>Added</t>
        </is>
      </c>
      <c r="C51" s="47" t="inlineStr">
        <is>
          <t>Messages in one room are never visible to non-members</t>
        </is>
      </c>
      <c r="D51" s="47" t="inlineStr">
        <is>
          <t>SRS gap FR7.3</t>
        </is>
      </c>
    </row>
    <row r="52">
      <c r="A52" s="47" t="inlineStr">
        <is>
          <t>CHT-10</t>
        </is>
      </c>
      <c r="B52" s="47" t="inlineStr">
        <is>
          <t>Added</t>
        </is>
      </c>
      <c r="C52" s="47" t="inlineStr">
        <is>
          <t>New message notification with haptic feedback</t>
        </is>
      </c>
      <c r="D52" s="47" t="inlineStr">
        <is>
          <t>SRS gap FR7.4, FR3.3</t>
        </is>
      </c>
    </row>
    <row r="53">
      <c r="A53" s="47" t="inlineStr">
        <is>
          <t>CHT-11</t>
        </is>
      </c>
      <c r="B53" s="47" t="inlineStr">
        <is>
          <t>Added</t>
        </is>
      </c>
      <c r="C53" s="47" t="inlineStr">
        <is>
          <t>Chat history persists across app restarts</t>
        </is>
      </c>
      <c r="D53" s="47" t="inlineStr">
        <is>
          <t>SRS gap FR7.5</t>
        </is>
      </c>
    </row>
    <row r="54">
      <c r="A54" s="47" t="inlineStr">
        <is>
          <t>CHT-12</t>
        </is>
      </c>
      <c r="B54" s="47" t="inlineStr">
        <is>
          <t>Added</t>
        </is>
      </c>
      <c r="C54" s="47" t="inlineStr">
        <is>
          <t>Send image, document, voice note and current location</t>
        </is>
      </c>
      <c r="D54" s="47" t="inlineStr">
        <is>
          <t>New feature (beyond SRS)</t>
        </is>
      </c>
    </row>
    <row r="55">
      <c r="A55" s="47" t="inlineStr">
        <is>
          <t>ACC-12</t>
        </is>
      </c>
      <c r="B55" s="47" t="inlineStr">
        <is>
          <t>Added</t>
        </is>
      </c>
      <c r="C55" s="47" t="inlineStr">
        <is>
          <t>Deaf patient gets a full-screen visual alert when help is assigned and arrives</t>
        </is>
      </c>
      <c r="D55" s="47" t="inlineStr">
        <is>
          <t>SRS gap FR3.1</t>
        </is>
      </c>
    </row>
    <row r="56">
      <c r="A56" s="47" t="inlineStr">
        <is>
          <t>ACC-13</t>
        </is>
      </c>
      <c r="B56" s="47" t="inlineStr">
        <is>
          <t>Added</t>
        </is>
      </c>
      <c r="C56" s="47" t="inlineStr">
        <is>
          <t>Deaf patient can show a communication card to bystanders</t>
        </is>
      </c>
      <c r="D56" s="47" t="inlineStr">
        <is>
          <t>SRS gap FR3.4</t>
        </is>
      </c>
    </row>
    <row r="57">
      <c r="A57" s="47" t="inlineStr">
        <is>
          <t>ACC-14</t>
        </is>
      </c>
      <c r="B57" s="47" t="inlineStr">
        <is>
          <t>Added</t>
        </is>
      </c>
      <c r="C57" s="47" t="inlineStr">
        <is>
          <t>Accessibility settings are saved per user account</t>
        </is>
      </c>
      <c r="D57" s="47" t="inlineStr">
        <is>
          <t>SRS gap FR3.2</t>
        </is>
      </c>
    </row>
    <row r="58">
      <c r="A58" s="47" t="inlineStr">
        <is>
          <t>NTF-09</t>
        </is>
      </c>
      <c r="B58" s="47" t="inlineStr">
        <is>
          <t>Added</t>
        </is>
      </c>
      <c r="C58" s="47" t="inlineStr">
        <is>
          <t>Push notifications arrive when the app is closed (self-hosted, no Firebase)</t>
        </is>
      </c>
      <c r="D58" s="47" t="inlineStr">
        <is>
          <t>New feature (beyond SRS)</t>
        </is>
      </c>
    </row>
    <row r="59">
      <c r="A59" s="47" t="inlineStr">
        <is>
          <t>NTF-10</t>
        </is>
      </c>
      <c r="B59" s="47" t="inlineStr">
        <is>
          <t>Added</t>
        </is>
      </c>
      <c r="C59" s="47" t="inlineStr">
        <is>
          <t>Notifications missed while offline are delivered after reconnect</t>
        </is>
      </c>
      <c r="D59" s="47" t="inlineStr">
        <is>
          <t>New feature (beyond SRS)</t>
        </is>
      </c>
    </row>
    <row r="60">
      <c r="A60" s="47" t="inlineStr">
        <is>
          <t>NTF-11</t>
        </is>
      </c>
      <c r="B60" s="47" t="inlineStr">
        <is>
          <t>Added</t>
        </is>
      </c>
      <c r="C60" s="47" t="inlineStr">
        <is>
          <t>Tapping a notification opens the correct screen for the role</t>
        </is>
      </c>
      <c r="D60" s="47" t="inlineStr">
        <is>
          <t>New feature (beyond SRS)</t>
        </is>
      </c>
    </row>
    <row r="61">
      <c r="A61" s="47" t="inlineStr">
        <is>
          <t>NTF-12</t>
        </is>
      </c>
      <c r="B61" s="47" t="inlineStr">
        <is>
          <t>Added</t>
        </is>
      </c>
      <c r="C61" s="47" t="inlineStr">
        <is>
          <t>Expired emergency alerts are never shown late</t>
        </is>
      </c>
      <c r="D61" s="47" t="inlineStr">
        <is>
          <t>New feature (beyond SRS)</t>
        </is>
      </c>
    </row>
    <row r="62">
      <c r="A62" s="47" t="inlineStr">
        <is>
          <t>ADM-09</t>
        </is>
      </c>
      <c r="B62" s="47" t="inlineStr">
        <is>
          <t>Added</t>
        </is>
      </c>
      <c r="C62" s="47" t="inlineStr">
        <is>
          <t>Admin filters users by role and status</t>
        </is>
      </c>
      <c r="D62" s="47" t="inlineStr">
        <is>
          <t>SRS gap FR9.2</t>
        </is>
      </c>
    </row>
    <row r="63">
      <c r="A63" s="47" t="inlineStr">
        <is>
          <t>ADM-10</t>
        </is>
      </c>
      <c r="B63" s="47" t="inlineStr">
        <is>
          <t>Added</t>
        </is>
      </c>
      <c r="C63" s="47" t="inlineStr">
        <is>
          <t>Admin deletes a user account (soft delete, audit preserved)</t>
        </is>
      </c>
      <c r="D63" s="47" t="inlineStr">
        <is>
          <t>SRS gap FR9.3</t>
        </is>
      </c>
    </row>
    <row r="64">
      <c r="A64" s="47" t="inlineStr">
        <is>
          <t>ADM-11</t>
        </is>
      </c>
      <c r="B64" s="47" t="inlineStr">
        <is>
          <t>Added</t>
        </is>
      </c>
      <c r="C64" s="47" t="inlineStr">
        <is>
          <t>Admin live map shows active SOS and moving responders</t>
        </is>
      </c>
      <c r="D64" s="47" t="inlineStr">
        <is>
          <t>SRS gap FR6.1</t>
        </is>
      </c>
    </row>
    <row r="65">
      <c r="A65" s="47" t="inlineStr">
        <is>
          <t>ADM-12</t>
        </is>
      </c>
      <c r="B65" s="47" t="inlineStr">
        <is>
          <t>Added</t>
        </is>
      </c>
      <c r="C65" s="47" t="inlineStr">
        <is>
          <t>Admin changes or cancels a user's subscription plan</t>
        </is>
      </c>
      <c r="D65" s="47" t="inlineStr">
        <is>
          <t>New feature (beyond SRS)</t>
        </is>
      </c>
    </row>
    <row r="66">
      <c r="A66" s="47" t="inlineStr">
        <is>
          <t>ADM-13</t>
        </is>
      </c>
      <c r="B66" s="47" t="inlineStr">
        <is>
          <t>Added</t>
        </is>
      </c>
      <c r="C66" s="47" t="inlineStr">
        <is>
          <t>Maintenance mode blocks non-admin API usage</t>
        </is>
      </c>
      <c r="D66" s="47" t="inlineStr">
        <is>
          <t>New feature (beyond SRS)</t>
        </is>
      </c>
    </row>
    <row r="67">
      <c r="A67" s="47" t="inlineStr">
        <is>
          <t>API-13</t>
        </is>
      </c>
      <c r="B67" s="47" t="inlineStr">
        <is>
          <t>Added</t>
        </is>
      </c>
      <c r="C67" s="47" t="inlineStr">
        <is>
          <t>GET /api/emergencies/history — patient own / caregiver linked patients</t>
        </is>
      </c>
      <c r="D67" s="47" t="inlineStr">
        <is>
          <t>SRS gap FR6.3</t>
        </is>
      </c>
    </row>
    <row r="68">
      <c r="A68" s="47" t="inlineStr">
        <is>
          <t>API-14</t>
        </is>
      </c>
      <c r="B68" s="47" t="inlineStr">
        <is>
          <t>Added</t>
        </is>
      </c>
      <c r="C68" s="47" t="inlineStr">
        <is>
          <t>GET /api/notifications/pending and POST /api/notifications/ack</t>
        </is>
      </c>
      <c r="D68" s="47" t="inlineStr">
        <is>
          <t>New feature (beyond SRS)</t>
        </is>
      </c>
    </row>
    <row r="69">
      <c r="A69" s="47" t="inlineStr">
        <is>
          <t>API-15</t>
        </is>
      </c>
      <c r="B69" s="47" t="inlineStr">
        <is>
          <t>Added</t>
        </is>
      </c>
      <c r="C69" s="47" t="inlineStr">
        <is>
          <t>GET /api/emergencies/:id enforces access control</t>
        </is>
      </c>
      <c r="D69" s="47" t="inlineStr">
        <is>
          <t>SRS gap FR2.6</t>
        </is>
      </c>
    </row>
    <row r="70">
      <c r="A70" s="47" t="inlineStr">
        <is>
          <t>API-16</t>
        </is>
      </c>
      <c r="B70" s="47" t="inlineStr">
        <is>
          <t>Added</t>
        </is>
      </c>
      <c r="C70" s="47" t="inlineStr">
        <is>
          <t>Socket.io connections require a valid JWT</t>
        </is>
      </c>
      <c r="D70" s="47" t="inlineStr">
        <is>
          <t>SRS gap FR6.1</t>
        </is>
      </c>
    </row>
    <row r="71">
      <c r="A71" s="47" t="inlineStr">
        <is>
          <t>MED-01</t>
        </is>
      </c>
      <c r="B71" s="47" t="inlineStr">
        <is>
          <t>Added</t>
        </is>
      </c>
      <c r="C71" s="47" t="inlineStr">
        <is>
          <t>Patient creates and edits the medical profile</t>
        </is>
      </c>
      <c r="D71" s="47" t="inlineStr">
        <is>
          <t>New sheet MEDICAL; SRS FR2.1, FR2.2</t>
        </is>
      </c>
    </row>
    <row r="72">
      <c r="A72" s="47" t="inlineStr">
        <is>
          <t>MED-02</t>
        </is>
      </c>
      <c r="B72" s="47" t="inlineStr">
        <is>
          <t>Added</t>
        </is>
      </c>
      <c r="C72" s="47" t="inlineStr">
        <is>
          <t>Saving the medical profile keeps emergency contacts and quick phrases</t>
        </is>
      </c>
      <c r="D72" s="47" t="inlineStr">
        <is>
          <t>New sheet MEDICAL; SRS FR2.1</t>
        </is>
      </c>
    </row>
    <row r="73">
      <c r="A73" s="47" t="inlineStr">
        <is>
          <t>MED-03</t>
        </is>
      </c>
      <c r="B73" s="47" t="inlineStr">
        <is>
          <t>Added</t>
        </is>
      </c>
      <c r="C73" s="47" t="inlineStr">
        <is>
          <t>Patient adds, calls and deletes emergency contacts</t>
        </is>
      </c>
      <c r="D73" s="47" t="inlineStr">
        <is>
          <t>New sheet MEDICAL; SRS FR2.1</t>
        </is>
      </c>
    </row>
    <row r="74">
      <c r="A74" s="47" t="inlineStr">
        <is>
          <t>MED-04</t>
        </is>
      </c>
      <c r="B74" s="47" t="inlineStr">
        <is>
          <t>Added</t>
        </is>
      </c>
      <c r="C74" s="47" t="inlineStr">
        <is>
          <t>Sensitive medical fields are encrypted at rest</t>
        </is>
      </c>
      <c r="D74" s="47" t="inlineStr">
        <is>
          <t>New sheet MEDICAL; SRS FR2.2</t>
        </is>
      </c>
    </row>
    <row r="75">
      <c r="A75" s="47" t="inlineStr">
        <is>
          <t>MED-05</t>
        </is>
      </c>
      <c r="B75" s="47" t="inlineStr">
        <is>
          <t>Added</t>
        </is>
      </c>
      <c r="C75" s="47" t="inlineStr">
        <is>
          <t>Upload a report from camera, gallery (image) and PDF</t>
        </is>
      </c>
      <c r="D75" s="47" t="inlineStr">
        <is>
          <t>New sheet MEDICAL; SRS FR2.3</t>
        </is>
      </c>
    </row>
    <row r="76">
      <c r="A76" s="47" t="inlineStr">
        <is>
          <t>MED-06</t>
        </is>
      </c>
      <c r="B76" s="47" t="inlineStr">
        <is>
          <t>Added</t>
        </is>
      </c>
      <c r="C76" s="47" t="inlineStr">
        <is>
          <t>Unsupported or oversized files are rejected with a clear message</t>
        </is>
      </c>
      <c r="D76" s="47" t="inlineStr">
        <is>
          <t>New sheet MEDICAL; SRS FR2.3</t>
        </is>
      </c>
    </row>
    <row r="77">
      <c r="A77" s="47" t="inlineStr">
        <is>
          <t>MED-07</t>
        </is>
      </c>
      <c r="B77" s="47" t="inlineStr">
        <is>
          <t>Added</t>
        </is>
      </c>
      <c r="C77" s="47" t="inlineStr">
        <is>
          <t>View, rename and delete a report</t>
        </is>
      </c>
      <c r="D77" s="47" t="inlineStr">
        <is>
          <t>New sheet MEDICAL; SRS FR2.4</t>
        </is>
      </c>
    </row>
    <row r="78">
      <c r="A78" s="47" t="inlineStr">
        <is>
          <t>MED-08</t>
        </is>
      </c>
      <c r="B78" s="47" t="inlineStr">
        <is>
          <t>Added</t>
        </is>
      </c>
      <c r="C78" s="47" t="inlineStr">
        <is>
          <t>Assigned responder receives the patient medical summary on accept</t>
        </is>
      </c>
      <c r="D78" s="47" t="inlineStr">
        <is>
          <t>New sheet MEDICAL; SRS FR2.5</t>
        </is>
      </c>
    </row>
    <row r="79">
      <c r="A79" s="47" t="inlineStr">
        <is>
          <t>MED-09</t>
        </is>
      </c>
      <c r="B79" s="47" t="inlineStr">
        <is>
          <t>Added</t>
        </is>
      </c>
      <c r="C79" s="47" t="inlineStr">
        <is>
          <t>Report files are visible only to the patient, linked caregivers, the active responder and admins</t>
        </is>
      </c>
      <c r="D79" s="47" t="inlineStr">
        <is>
          <t>New sheet MEDICAL; SRS FR2.6</t>
        </is>
      </c>
    </row>
    <row r="80">
      <c r="A80" s="47" t="inlineStr">
        <is>
          <t>SEC-01</t>
        </is>
      </c>
      <c r="B80" s="47" t="inlineStr">
        <is>
          <t>Added</t>
        </is>
      </c>
      <c r="C80" s="47" t="inlineStr">
        <is>
          <t>SOS requires press-and-hold before it starts</t>
        </is>
      </c>
      <c r="D80" s="47" t="inlineStr">
        <is>
          <t>New sheet SECURITY_SOS; SRS FR4.1</t>
        </is>
      </c>
    </row>
    <row r="81">
      <c r="A81" s="47" t="inlineStr">
        <is>
          <t>SEC-02</t>
        </is>
      </c>
      <c r="B81" s="47" t="inlineStr">
        <is>
          <t>Added</t>
        </is>
      </c>
      <c r="C81" s="47" t="inlineStr">
        <is>
          <t>Cancelling during the 60-second countdown sends nothing to the server</t>
        </is>
      </c>
      <c r="D81" s="47" t="inlineStr">
        <is>
          <t>New sheet SECURITY_SOS; SRS FR4.3</t>
        </is>
      </c>
    </row>
    <row r="82">
      <c r="A82" s="47" t="inlineStr">
        <is>
          <t>SEC-03</t>
        </is>
      </c>
      <c r="B82" s="47" t="inlineStr">
        <is>
          <t>Added</t>
        </is>
      </c>
      <c r="C82" s="47" t="inlineStr">
        <is>
          <t>SOS from a mock (fake) GPS location is refused in production</t>
        </is>
      </c>
      <c r="D82" s="47" t="inlineStr">
        <is>
          <t>New sheet SECURITY_SOS; SRS FR4.2</t>
        </is>
      </c>
    </row>
    <row r="83">
      <c r="A83" s="47" t="inlineStr">
        <is>
          <t>SEC-04</t>
        </is>
      </c>
      <c r="B83" s="47" t="inlineStr">
        <is>
          <t>Added</t>
        </is>
      </c>
      <c r="C83" s="47" t="inlineStr">
        <is>
          <t>More than 5 SOS in one hour is refused</t>
        </is>
      </c>
      <c r="D83" s="47" t="inlineStr">
        <is>
          <t>New sheet SECURITY_SOS; SRS FR4.5</t>
        </is>
      </c>
    </row>
    <row r="84">
      <c r="A84" s="47" t="inlineStr">
        <is>
          <t>SEC-05</t>
        </is>
      </c>
      <c r="B84" s="47" t="inlineStr">
        <is>
          <t>Added</t>
        </is>
      </c>
      <c r="C84" s="47" t="inlineStr">
        <is>
          <t>SOS outside Pakistan coordinates is refused</t>
        </is>
      </c>
      <c r="D84" s="47" t="inlineStr">
        <is>
          <t>New sheet SECURITY_SOS; SRS FR4.2</t>
        </is>
      </c>
    </row>
    <row r="85">
      <c r="A85" s="47" t="inlineStr">
        <is>
          <t>SEC-06</t>
        </is>
      </c>
      <c r="B85" s="47" t="inlineStr">
        <is>
          <t>Added</t>
        </is>
      </c>
      <c r="C85" s="47" t="inlineStr">
        <is>
          <t>Responder must add a note when closing as False alarm or Patient not found</t>
        </is>
      </c>
      <c r="D85" s="47" t="inlineStr">
        <is>
          <t>New sheet SECURITY_SOS; SRS FR6.2</t>
        </is>
      </c>
    </row>
    <row r="86">
      <c r="A86" s="47" t="inlineStr">
        <is>
          <t>SEC-07</t>
        </is>
      </c>
      <c r="B86" s="47" t="inlineStr">
        <is>
          <t>Added</t>
        </is>
      </c>
      <c r="C86" s="47" t="inlineStr">
        <is>
          <t>Patient is warned when an SOS is marked as a false alarm</t>
        </is>
      </c>
      <c r="D86" s="47" t="inlineStr">
        <is>
          <t>New sheet SECURITY_SOS; beyond SRS</t>
        </is>
      </c>
    </row>
    <row r="87">
      <c r="A87" s="47" t="inlineStr">
        <is>
          <t>SEC-08</t>
        </is>
      </c>
      <c r="B87" s="47" t="inlineStr">
        <is>
          <t>Added</t>
        </is>
      </c>
      <c r="C87" s="47" t="inlineStr">
        <is>
          <t>3 false alarms in 30 days alerts admins for review</t>
        </is>
      </c>
      <c r="D87" s="47" t="inlineStr">
        <is>
          <t>New sheet SECURITY_SOS; beyond SRS</t>
        </is>
      </c>
    </row>
    <row r="88">
      <c r="A88" s="47" t="inlineStr">
        <is>
          <t>SEC-09</t>
        </is>
      </c>
      <c r="B88" s="47" t="inlineStr">
        <is>
          <t>Added</t>
        </is>
      </c>
      <c r="C88" s="47" t="inlineStr">
        <is>
          <t>Patient-cancelled SOS never counts as a false alarm</t>
        </is>
      </c>
      <c r="D88" s="47" t="inlineStr">
        <is>
          <t>New sheet SECURITY_SOS; beyond SRS</t>
        </is>
      </c>
    </row>
    <row r="89">
      <c r="A89" s="47" t="inlineStr">
        <is>
          <t>SEC-10</t>
        </is>
      </c>
      <c r="B89" s="47" t="inlineStr">
        <is>
          <t>Added</t>
        </is>
      </c>
      <c r="C89" s="47" t="inlineStr">
        <is>
          <t>Refresh token cannot be used as an access token</t>
        </is>
      </c>
      <c r="D89" s="47" t="inlineStr">
        <is>
          <t>New sheet SECURITY_SOS; SRS FR1.6</t>
        </is>
      </c>
    </row>
    <row r="90">
      <c r="A90" s="47" t="inlineStr">
        <is>
          <t>SEC-11</t>
        </is>
      </c>
      <c r="B90" s="47" t="inlineStr">
        <is>
          <t>Added</t>
        </is>
      </c>
      <c r="C90" s="47" t="inlineStr">
        <is>
          <t>Users cannot join emergency or chat rooms they do not belong to</t>
        </is>
      </c>
      <c r="D90" s="47" t="inlineStr">
        <is>
          <t>New sheet SECURITY_SOS; SRS FR1.6</t>
        </is>
      </c>
    </row>
    <row r="91">
      <c r="A91" s="47" t="inlineStr">
        <is>
          <t>SEC-12</t>
        </is>
      </c>
      <c r="B91" s="47" t="inlineStr">
        <is>
          <t>Added</t>
        </is>
      </c>
      <c r="C91" s="47" t="inlineStr">
        <is>
          <t>Paid plan upgrade requires a verified Stripe payment</t>
        </is>
      </c>
      <c r="D91" s="47" t="inlineStr">
        <is>
          <t>New sheet SECURITY_SOS; beyond SRS</t>
        </is>
      </c>
    </row>
    <row r="92">
      <c r="A92" s="47" t="inlineStr">
        <is>
          <t>SEC-13</t>
        </is>
      </c>
      <c r="B92" s="47" t="inlineStr">
        <is>
          <t>Added</t>
        </is>
      </c>
      <c r="C92" s="47" t="inlineStr">
        <is>
          <t>Only the assigned responder can update or resolve an emergency</t>
        </is>
      </c>
      <c r="D92" s="47" t="inlineStr">
        <is>
          <t>New sheet SECURITY_SOS; SRS FR5.1</t>
        </is>
      </c>
    </row>
    <row r="93">
      <c r="A93" s="47" t="inlineStr">
        <is>
          <t>NAV-01</t>
        </is>
      </c>
      <c r="B93" s="47" t="inlineStr">
        <is>
          <t>Added</t>
        </is>
      </c>
      <c r="C93" s="47" t="inlineStr">
        <is>
          <t>Each role has a unified sidebar (AppDrawer) with role-specific items</t>
        </is>
      </c>
      <c r="D93" s="47" t="inlineStr">
        <is>
          <t>New sheet NAVIGATION_UI; SRS FR8.1</t>
        </is>
      </c>
    </row>
    <row r="94">
      <c r="A94" s="47" t="inlineStr">
        <is>
          <t>NAV-02</t>
        </is>
      </c>
      <c r="B94" s="47" t="inlineStr">
        <is>
          <t>Added</t>
        </is>
      </c>
      <c r="C94" s="47" t="inlineStr">
        <is>
          <t>Switching tabs preserves each tab's state and back navigation works</t>
        </is>
      </c>
      <c r="D94" s="47" t="inlineStr">
        <is>
          <t>New sheet NAVIGATION_UI; SRS FR8.2</t>
        </is>
      </c>
    </row>
    <row r="95">
      <c r="A95" s="47" t="inlineStr">
        <is>
          <t>NAV-03</t>
        </is>
      </c>
      <c r="B95" s="47" t="inlineStr">
        <is>
          <t>Added</t>
        </is>
      </c>
      <c r="C95" s="47" t="inlineStr">
        <is>
          <t>Role dashboards show quick action grids</t>
        </is>
      </c>
      <c r="D95" s="47" t="inlineStr">
        <is>
          <t>New sheet NAVIGATION_UI; SRS FR8.3</t>
        </is>
      </c>
    </row>
    <row r="96">
      <c r="A96" s="47" t="inlineStr">
        <is>
          <t>NAV-04</t>
        </is>
      </c>
      <c r="B96" s="47" t="inlineStr">
        <is>
          <t>Added</t>
        </is>
      </c>
      <c r="C96" s="47" t="inlineStr">
        <is>
          <t>Map and chat screens render smoothly (~60 FPS)</t>
        </is>
      </c>
      <c r="D96" s="47" t="inlineStr">
        <is>
          <t>New sheet NAVIGATION_UI; SRS FR8.4</t>
        </is>
      </c>
    </row>
    <row r="97">
      <c r="A97" s="47" t="inlineStr">
        <is>
          <t>NAV-05</t>
        </is>
      </c>
      <c r="B97" s="47" t="inlineStr">
        <is>
          <t>Added</t>
        </is>
      </c>
      <c r="C97" s="47" t="inlineStr">
        <is>
          <t>Large buttons mode enlarges tap targets across screens</t>
        </is>
      </c>
      <c r="D97" s="47" t="inlineStr">
        <is>
          <t>New sheet NAVIGATION_UI; SRS FR3.5</t>
        </is>
      </c>
    </row>
    <row r="98">
      <c r="A98" s="47" t="inlineStr">
        <is>
          <t>PRF-01</t>
        </is>
      </c>
      <c r="B98" s="47" t="inlineStr">
        <is>
          <t>Re-classified</t>
        </is>
      </c>
      <c r="C98" s="47" t="inlineStr">
        <is>
          <t>Marked "Beyond SRS" in the SRS Ref column</t>
        </is>
      </c>
      <c r="D98" s="47" t="inlineStr">
        <is>
          <t>Valid feature test with no matching SRS functional requirement</t>
        </is>
      </c>
    </row>
    <row r="99">
      <c r="A99" s="47" t="inlineStr">
        <is>
          <t>PRF-02</t>
        </is>
      </c>
      <c r="B99" s="47" t="inlineStr">
        <is>
          <t>Re-classified</t>
        </is>
      </c>
      <c r="C99" s="47" t="inlineStr">
        <is>
          <t>Marked "Beyond SRS" in the SRS Ref column</t>
        </is>
      </c>
      <c r="D99" s="47" t="inlineStr">
        <is>
          <t>Valid feature test with no matching SRS functional requirement</t>
        </is>
      </c>
    </row>
    <row r="100">
      <c r="A100" s="47" t="inlineStr">
        <is>
          <t>PRF-03</t>
        </is>
      </c>
      <c r="B100" s="47" t="inlineStr">
        <is>
          <t>Re-classified</t>
        </is>
      </c>
      <c r="C100" s="47" t="inlineStr">
        <is>
          <t>Marked "Beyond SRS" in the SRS Ref column</t>
        </is>
      </c>
      <c r="D100" s="47" t="inlineStr">
        <is>
          <t>Valid feature test with no matching SRS functional requirement</t>
        </is>
      </c>
    </row>
    <row r="101">
      <c r="A101" s="47" t="inlineStr">
        <is>
          <t>PRF-05</t>
        </is>
      </c>
      <c r="B101" s="47" t="inlineStr">
        <is>
          <t>Re-classified</t>
        </is>
      </c>
      <c r="C101" s="47" t="inlineStr">
        <is>
          <t>Marked "Beyond SRS" in the SRS Ref column</t>
        </is>
      </c>
      <c r="D101" s="47" t="inlineStr">
        <is>
          <t>Valid feature test with no matching SRS functional requirement</t>
        </is>
      </c>
    </row>
    <row r="102">
      <c r="A102" s="47" t="inlineStr">
        <is>
          <t>NTF-01</t>
        </is>
      </c>
      <c r="B102" s="47" t="inlineStr">
        <is>
          <t>Re-classified</t>
        </is>
      </c>
      <c r="C102" s="47" t="inlineStr">
        <is>
          <t>Marked "Beyond SRS" in the SRS Ref column</t>
        </is>
      </c>
      <c r="D102" s="47" t="inlineStr">
        <is>
          <t>Valid feature test with no matching SRS functional requirement</t>
        </is>
      </c>
    </row>
    <row r="103">
      <c r="A103" s="47" t="inlineStr">
        <is>
          <t>NTF-02</t>
        </is>
      </c>
      <c r="B103" s="47" t="inlineStr">
        <is>
          <t>Re-classified</t>
        </is>
      </c>
      <c r="C103" s="47" t="inlineStr">
        <is>
          <t>Marked "Beyond SRS" in the SRS Ref column</t>
        </is>
      </c>
      <c r="D103" s="47" t="inlineStr">
        <is>
          <t>Valid feature test with no matching SRS functional requirement</t>
        </is>
      </c>
    </row>
    <row r="104">
      <c r="A104" s="47" t="inlineStr">
        <is>
          <t>NTF-03</t>
        </is>
      </c>
      <c r="B104" s="47" t="inlineStr">
        <is>
          <t>Re-classified</t>
        </is>
      </c>
      <c r="C104" s="47" t="inlineStr">
        <is>
          <t>Marked "Beyond SRS" in the SRS Ref column</t>
        </is>
      </c>
      <c r="D104" s="47" t="inlineStr">
        <is>
          <t>Valid feature test with no matching SRS functional requirement</t>
        </is>
      </c>
    </row>
    <row r="105">
      <c r="A105" s="47" t="inlineStr">
        <is>
          <t>NTF-04</t>
        </is>
      </c>
      <c r="B105" s="47" t="inlineStr">
        <is>
          <t>Re-classified</t>
        </is>
      </c>
      <c r="C105" s="47" t="inlineStr">
        <is>
          <t>Marked "Beyond SRS" in the SRS Ref column</t>
        </is>
      </c>
      <c r="D105" s="47" t="inlineStr">
        <is>
          <t>Valid feature test with no matching SRS functional requirement</t>
        </is>
      </c>
    </row>
    <row r="106">
      <c r="A106" s="47" t="inlineStr">
        <is>
          <t>NTF-05</t>
        </is>
      </c>
      <c r="B106" s="47" t="inlineStr">
        <is>
          <t>Re-classified</t>
        </is>
      </c>
      <c r="C106" s="47" t="inlineStr">
        <is>
          <t>Marked "Beyond SRS" in the SRS Ref column</t>
        </is>
      </c>
      <c r="D106" s="47" t="inlineStr">
        <is>
          <t>Valid feature test with no matching SRS functional requirement</t>
        </is>
      </c>
    </row>
    <row r="107">
      <c r="A107" s="47" t="inlineStr">
        <is>
          <t>NTF-07</t>
        </is>
      </c>
      <c r="B107" s="47" t="inlineStr">
        <is>
          <t>Re-classified</t>
        </is>
      </c>
      <c r="C107" s="47" t="inlineStr">
        <is>
          <t>Marked "Beyond SRS" in the SRS Ref column</t>
        </is>
      </c>
      <c r="D107" s="47" t="inlineStr">
        <is>
          <t>Valid feature test with no matching SRS functional requirement</t>
        </is>
      </c>
    </row>
    <row r="108">
      <c r="A108" s="47" t="inlineStr">
        <is>
          <t>NTF-08</t>
        </is>
      </c>
      <c r="B108" s="47" t="inlineStr">
        <is>
          <t>Re-classified</t>
        </is>
      </c>
      <c r="C108" s="47" t="inlineStr">
        <is>
          <t>Marked "Beyond SRS" in the SRS Ref column</t>
        </is>
      </c>
      <c r="D108" s="47" t="inlineStr">
        <is>
          <t>Valid feature test with no matching SRS functional requirement</t>
        </is>
      </c>
    </row>
    <row r="109">
      <c r="A109" s="47" t="inlineStr">
        <is>
          <t>ACC-06</t>
        </is>
      </c>
      <c r="B109" s="47" t="inlineStr">
        <is>
          <t>Re-classified</t>
        </is>
      </c>
      <c r="C109" s="47" t="inlineStr">
        <is>
          <t>Marked "Beyond SRS" in the SRS Ref column</t>
        </is>
      </c>
      <c r="D109" s="47" t="inlineStr">
        <is>
          <t>Valid feature test with no matching SRS functional requirement</t>
        </is>
      </c>
    </row>
    <row r="110">
      <c r="A110" s="47" t="inlineStr">
        <is>
          <t>ACC-07</t>
        </is>
      </c>
      <c r="B110" s="47" t="inlineStr">
        <is>
          <t>Re-classified</t>
        </is>
      </c>
      <c r="C110" s="47" t="inlineStr">
        <is>
          <t>Marked "Beyond SRS" in the SRS Ref column</t>
        </is>
      </c>
      <c r="D110" s="47" t="inlineStr">
        <is>
          <t>Valid feature test with no matching SRS functional requirement</t>
        </is>
      </c>
    </row>
    <row r="111">
      <c r="A111" s="47" t="inlineStr">
        <is>
          <t>ACC-11</t>
        </is>
      </c>
      <c r="B111" s="47" t="inlineStr">
        <is>
          <t>Re-classified</t>
        </is>
      </c>
      <c r="C111" s="47" t="inlineStr">
        <is>
          <t>Marked "Beyond SRS" in the SRS Ref column</t>
        </is>
      </c>
      <c r="D111" s="47" t="inlineStr">
        <is>
          <t>Valid feature test with no matching SRS functional requirement</t>
        </is>
      </c>
    </row>
    <row r="112">
      <c r="A112" s="47" t="inlineStr">
        <is>
          <t>AUTH-12</t>
        </is>
      </c>
      <c r="B112" s="47" t="inlineStr">
        <is>
          <t>Re-classified</t>
        </is>
      </c>
      <c r="C112" s="47" t="inlineStr">
        <is>
          <t>Marked "Beyond SRS" in the SRS Ref column</t>
        </is>
      </c>
      <c r="D112" s="47" t="inlineStr">
        <is>
          <t>Valid feature test with no matching SRS functional requirement</t>
        </is>
      </c>
    </row>
    <row r="113">
      <c r="A113" s="47" t="inlineStr">
        <is>
          <t>API-04</t>
        </is>
      </c>
      <c r="B113" s="47" t="inlineStr">
        <is>
          <t>Re-classified</t>
        </is>
      </c>
      <c r="C113" s="47" t="inlineStr">
        <is>
          <t>Marked "Beyond SRS" in the SRS Ref column</t>
        </is>
      </c>
      <c r="D113" s="47" t="inlineStr">
        <is>
          <t>Valid feature test with no matching SRS functional requirement</t>
        </is>
      </c>
    </row>
    <row r="114">
      <c r="A114" s="47" t="inlineStr">
        <is>
          <t>API-08</t>
        </is>
      </c>
      <c r="B114" s="47" t="inlineStr">
        <is>
          <t>Re-classified</t>
        </is>
      </c>
      <c r="C114" s="47" t="inlineStr">
        <is>
          <t>Marked "Beyond SRS" in the SRS Ref column</t>
        </is>
      </c>
      <c r="D114" s="47" t="inlineStr">
        <is>
          <t>Valid feature test with no matching SRS functional requirement</t>
        </is>
      </c>
    </row>
    <row r="115">
      <c r="A115" s="47" t="inlineStr">
        <is>
          <t>API-09</t>
        </is>
      </c>
      <c r="B115" s="47" t="inlineStr">
        <is>
          <t>Re-classified</t>
        </is>
      </c>
      <c r="C115" s="47" t="inlineStr">
        <is>
          <t>Marked "Beyond SRS" in the SRS Ref column</t>
        </is>
      </c>
      <c r="D115" s="47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2026-09-16T18:11:28Z</dcterms:created>
  <dcterms:modified xmlns:dcterms="http://purl.org/dc/terms/" xmlns:xsi="http://www.w3.org/2001/XMLSchema-instance" xsi:type="dcterms:W3CDTF">2026-09-16T18:11:47Z</dcterms:modified>
</cp:coreProperties>
</file>