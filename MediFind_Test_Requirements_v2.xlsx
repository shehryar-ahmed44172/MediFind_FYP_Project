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RS_TRACEABILITY" sheetId="3" state="visible" r:id="rId3"/>
    <sheet xmlns:r="http://schemas.openxmlformats.org/officeDocument/2006/relationships" name="AUTH" sheetId="4" state="visible" r:id="rId4"/>
    <sheet xmlns:r="http://schemas.openxmlformats.org/officeDocument/2006/relationships" name="PATIENT_SOS" sheetId="5" state="visible" r:id="rId5"/>
    <sheet xmlns:r="http://schemas.openxmlformats.org/officeDocument/2006/relationships" name="SECURITY_SOS" sheetId="6" state="visible" r:id="rId6"/>
    <sheet xmlns:r="http://schemas.openxmlformats.org/officeDocument/2006/relationships" name="RESPONDER" sheetId="7" state="visible" r:id="rId7"/>
    <sheet xmlns:r="http://schemas.openxmlformats.org/officeDocument/2006/relationships" name="CAREGIVER" sheetId="8" state="visible" r:id="rId8"/>
    <sheet xmlns:r="http://schemas.openxmlformats.org/officeDocument/2006/relationships" name="MEDICAL" sheetId="9" state="visible" r:id="rId9"/>
    <sheet xmlns:r="http://schemas.openxmlformats.org/officeDocument/2006/relationships" name="CHAT" sheetId="10" state="visible" r:id="rId10"/>
    <sheet xmlns:r="http://schemas.openxmlformats.org/officeDocument/2006/relationships" name="PRIVACY_CALLS" sheetId="11" state="visible" r:id="rId11"/>
    <sheet xmlns:r="http://schemas.openxmlformats.org/officeDocument/2006/relationships" name="PROFILE" sheetId="12" state="visible" r:id="rId12"/>
    <sheet xmlns:r="http://schemas.openxmlformats.org/officeDocument/2006/relationships" name="ACCESSIBILITY" sheetId="13" state="visible" r:id="rId13"/>
    <sheet xmlns:r="http://schemas.openxmlformats.org/officeDocument/2006/relationships" name="NOTIFICATIONS" sheetId="14" state="visible" r:id="rId14"/>
    <sheet xmlns:r="http://schemas.openxmlformats.org/officeDocument/2006/relationships" name="NAVIGATION_UI" sheetId="15" state="visible" r:id="rId15"/>
    <sheet xmlns:r="http://schemas.openxmlformats.org/officeDocument/2006/relationships" name="ADMIN_PORTAL" sheetId="16" state="visible" r:id="rId16"/>
    <sheet xmlns:r="http://schemas.openxmlformats.org/officeDocument/2006/relationships" name="BACKEND_API" sheetId="17" state="visible" r:id="rId17"/>
    <sheet xmlns:r="http://schemas.openxmlformats.org/officeDocument/2006/relationships" name="CHANGE_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555555"/>
      <sz val="11"/>
    </font>
    <font>
      <name val="Arial"/>
      <color rgb="00888888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7F6000"/>
      <sz val="10"/>
    </font>
    <font>
      <name val="Arial"/>
      <b val="1"/>
      <color rgb="002E75B6"/>
      <sz val="10"/>
    </font>
    <font>
      <name val="Arial"/>
      <b val="1"/>
      <color rgb="00FFFFFF"/>
      <sz val="16"/>
    </font>
    <font>
      <name val="Arial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E2D9F3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12" fillId="0" borderId="0" pivotButton="0" quotePrefix="0" xfId="0"/>
    <xf numFmtId="0" fontId="13" fillId="7" borderId="0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7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7" borderId="0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vertical="center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8" borderId="1" pivotButton="0" quotePrefix="0" xfId="0"/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EEEEE"/>
        </patternFill>
      </fill>
    </dxf>
    <dxf>
      <fill>
        <patternFill patternType="solid">
          <fgColor rgb="00E2D9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2" customWidth="1" min="3" max="3"/>
    <col width="20" customWidth="1" min="4" max="4"/>
  </cols>
  <sheetData>
    <row r="2">
      <c r="B2" s="1" t="inlineStr">
        <is>
          <t>MediFind — Test Requirements Workbook</t>
        </is>
      </c>
    </row>
    <row r="3">
      <c r="B3" s="2" t="inlineStr">
        <is>
          <t>Emergency Response Ecosystem · Patient · Caregiver · Responder · Admin</t>
        </is>
      </c>
    </row>
    <row r="4">
      <c r="B4" s="3" t="inlineStr">
        <is>
          <t>Project: MediFind FYP  |  Date: 2026-09-17  |  Version: 2.2 (results recorded; privacy, chat lock and calls added; v1.0 dated 2026-05-30)</t>
        </is>
      </c>
    </row>
    <row r="6">
      <c r="B6" s="4" t="inlineStr">
        <is>
          <t>STATUS LEGEND</t>
        </is>
      </c>
    </row>
    <row r="7">
      <c r="B7" s="5" t="inlineStr">
        <is>
          <t>PASS</t>
        </is>
      </c>
      <c r="C7" s="6" t="inlineStr">
        <is>
          <t>Test passed — behaviour matches expected result</t>
        </is>
      </c>
    </row>
    <row r="8">
      <c r="B8" s="7" t="inlineStr">
        <is>
          <t>FAIL</t>
        </is>
      </c>
      <c r="C8" s="6" t="inlineStr">
        <is>
          <t>Test failed — defect raised</t>
        </is>
      </c>
    </row>
    <row r="9">
      <c r="B9" s="8" t="inlineStr">
        <is>
          <t>PENDING</t>
        </is>
      </c>
      <c r="C9" s="6" t="inlineStr">
        <is>
          <t>Not yet executed</t>
        </is>
      </c>
    </row>
    <row r="10">
      <c r="B10" s="9" t="inlineStr">
        <is>
          <t>N/A</t>
        </is>
      </c>
      <c r="C10" s="6" t="inlineStr">
        <is>
          <t>Not applicable for this configuration</t>
        </is>
      </c>
    </row>
    <row r="11">
      <c r="B11" s="10" t="inlineStr">
        <is>
          <t>BLOCKED</t>
        </is>
      </c>
      <c r="C11" s="6" t="inlineStr">
        <is>
          <t>Cannot be tested — dependency unresolved</t>
        </is>
      </c>
    </row>
    <row r="13">
      <c r="B13" s="4" t="inlineStr">
        <is>
          <t>HOW TO USE</t>
        </is>
      </c>
    </row>
    <row r="14">
      <c r="B14" s="11" t="inlineStr">
        <is>
          <t>1.</t>
        </is>
      </c>
      <c r="C14" s="12" t="inlineStr">
        <is>
          <t>Edit only the Status (dropdown) and Notes / Defect Ref columns in each test sheet.</t>
        </is>
      </c>
    </row>
    <row r="15">
      <c r="B15" s="11" t="inlineStr">
        <is>
          <t>2.</t>
        </is>
      </c>
      <c r="C15" s="12" t="inlineStr">
        <is>
          <t>SRS Ref links every test to a functional requirement in MediFind_Requirements_Analysis.docx; "Beyond SRS" marks extra features.</t>
        </is>
      </c>
    </row>
    <row r="16">
      <c r="B16" s="11" t="inlineStr">
        <is>
          <t>3.</t>
        </is>
      </c>
      <c r="C16" s="12" t="inlineStr">
        <is>
          <t>SUMMARY and SRS_TRACEABILITY recalculate automatically from the Status and SRS Ref columns.</t>
        </is>
      </c>
    </row>
    <row r="17">
      <c r="B17" s="11" t="inlineStr">
        <is>
          <t>4.</t>
        </is>
      </c>
      <c r="C17" s="12" t="inlineStr">
        <is>
          <t>CHANGE_LOG lists what changed from version 1.0 and why.</t>
        </is>
      </c>
    </row>
    <row r="19">
      <c r="B19" s="4" t="inlineStr">
        <is>
          <t>SHEETS IN THIS WORKBOOK</t>
        </is>
      </c>
    </row>
    <row r="20">
      <c r="B20" s="13" t="inlineStr">
        <is>
          <t>AUTH</t>
        </is>
      </c>
      <c r="C20" s="6" t="inlineStr">
        <is>
          <t>Registration, Login, Lockout, Password Reset, Token Refresh, Logout</t>
        </is>
      </c>
    </row>
    <row r="21">
      <c r="B21" s="13" t="inlineStr">
        <is>
          <t>PATIENT_SOS</t>
        </is>
      </c>
      <c r="C21" s="6" t="inlineStr">
        <is>
          <t>Hold-to-SOS, 60-second Countdown, Categories, Tracking, ETA, Cancellation</t>
        </is>
      </c>
    </row>
    <row r="22">
      <c r="B22" s="13" t="inlineStr">
        <is>
          <t>SECURITY_SOS</t>
        </is>
      </c>
      <c r="C22" s="6" t="inlineStr">
        <is>
          <t>False SOS Prevention, Abuse Limits, Security Controls</t>
        </is>
      </c>
    </row>
    <row r="23">
      <c r="B23" s="13" t="inlineStr">
        <is>
          <t>RESPONDER</t>
        </is>
      </c>
      <c r="C23" s="6" t="inlineStr">
        <is>
          <t>Alerts, Accept/Reject, Availability, Navigation, Status, Resolve</t>
        </is>
      </c>
    </row>
    <row r="24">
      <c r="B24" s="13" t="inlineStr">
        <is>
          <t>CAREGIVER</t>
        </is>
      </c>
      <c r="C24" s="6" t="inlineStr">
        <is>
          <t>Linking, Live Map, Notifications, History</t>
        </is>
      </c>
    </row>
    <row r="25">
      <c r="B25" s="13" t="inlineStr">
        <is>
          <t>MEDICAL</t>
        </is>
      </c>
      <c r="C25" s="6" t="inlineStr">
        <is>
          <t>Medical Profile, Reports, Emergency Contacts, Data Isolation</t>
        </is>
      </c>
    </row>
    <row r="26">
      <c r="B26" s="13" t="inlineStr">
        <is>
          <t>CHAT</t>
        </is>
      </c>
      <c r="C26" s="6" t="inlineStr">
        <is>
          <t>Real-time Chat, Privacy, History, Quick Phrases (Deaf), Media</t>
        </is>
      </c>
    </row>
    <row r="27">
      <c r="B27" s="13" t="inlineStr">
        <is>
          <t>PRIVACY_CALLS</t>
        </is>
      </c>
      <c r="C27" s="6" t="inlineStr">
        <is>
          <t>Contact Privacy, Emergency Chat Lock, Phone Calls, In-app Voice/Video Calls, Performance, AI &amp; Layout</t>
        </is>
      </c>
    </row>
    <row r="28">
      <c r="B28" s="13" t="inlineStr">
        <is>
          <t>PROFILE</t>
        </is>
      </c>
      <c r="C28" s="6" t="inlineStr">
        <is>
          <t>View/Edit Profile, Avatar Upload, Account Deletion (beyond SRS)</t>
        </is>
      </c>
    </row>
    <row r="29">
      <c r="B29" s="13" t="inlineStr">
        <is>
          <t>ACCESSIBILITY</t>
        </is>
      </c>
      <c r="C29" s="6" t="inlineStr">
        <is>
          <t>Deaf Mode, High Contrast, Font Scaling, Voice Guidance, Vibration</t>
        </is>
      </c>
    </row>
    <row r="30">
      <c r="B30" s="13" t="inlineStr">
        <is>
          <t>NOTIFICATIONS</t>
        </is>
      </c>
      <c r="C30" s="6" t="inlineStr">
        <is>
          <t>Self-hosted Push, In-App, Broadcast, Admin Web Portal</t>
        </is>
      </c>
    </row>
    <row r="31">
      <c r="B31" s="13" t="inlineStr">
        <is>
          <t>NAVIGATION_UI</t>
        </is>
      </c>
      <c r="C31" s="6" t="inlineStr">
        <is>
          <t>Sidebar, Stateful Routing, Quick Actions, Performance</t>
        </is>
      </c>
    </row>
    <row r="32">
      <c r="B32" s="13" t="inlineStr">
        <is>
          <t>ADMIN_PORTAL</t>
        </is>
      </c>
      <c r="C32" s="6" t="inlineStr">
        <is>
          <t>User Management, Verification, Dashboard, SOS Logistics</t>
        </is>
      </c>
    </row>
    <row r="33">
      <c r="B33" s="13" t="inlineStr">
        <is>
          <t>BACKEND_API</t>
        </is>
      </c>
      <c r="C33" s="6" t="inlineStr">
        <is>
          <t>REST Endpoints, Auth Middleware, Sockets, Error Handling</t>
        </is>
      </c>
    </row>
    <row r="34">
      <c r="B34" s="13" t="inlineStr">
        <is>
          <t>SUMMARY</t>
        </is>
      </c>
      <c r="C34" s="6" t="inlineStr">
        <is>
          <t>Pass / Fail / Pending counts per area (formulas)</t>
        </is>
      </c>
    </row>
    <row r="35">
      <c r="B35" s="13" t="inlineStr">
        <is>
          <t>SRS_TRACEABILITY</t>
        </is>
      </c>
      <c r="C35" s="6" t="inlineStr">
        <is>
          <t>Every SRS functional requirement mapped to its test cases</t>
        </is>
      </c>
    </row>
    <row r="36">
      <c r="B36" s="13" t="inlineStr">
        <is>
          <t>CHANGE_LOG</t>
        </is>
      </c>
      <c r="C36" s="6" t="inlineStr">
        <is>
          <t>Changes from version 1.0</t>
        </is>
      </c>
    </row>
  </sheetData>
  <mergeCells count="3">
    <mergeCell ref="B3:D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30" customHeight="1">
      <c r="A1" s="14" t="inlineStr">
        <is>
          <t>MediFind — Test Requirements Summary</t>
        </is>
      </c>
    </row>
    <row r="3">
      <c r="A3" s="15" t="inlineStr">
        <is>
          <t>#</t>
        </is>
      </c>
      <c r="B3" s="15" t="inlineStr">
        <is>
          <t>Test Area</t>
        </is>
      </c>
      <c r="C3" s="15" t="inlineStr">
        <is>
          <t>Total</t>
        </is>
      </c>
      <c r="D3" s="15" t="inlineStr">
        <is>
          <t>PASS</t>
        </is>
      </c>
      <c r="E3" s="15" t="inlineStr">
        <is>
          <t>FAIL</t>
        </is>
      </c>
      <c r="F3" s="15" t="inlineStr">
        <is>
          <t>PENDING</t>
        </is>
      </c>
      <c r="G3" s="15" t="inlineStr">
        <is>
          <t>BLOCKED</t>
        </is>
      </c>
      <c r="H3" s="15" t="inlineStr">
        <is>
          <t>N/A</t>
        </is>
      </c>
      <c r="I3" s="15" t="inlineStr">
        <is>
          <t>Pass Rate</t>
        </is>
      </c>
    </row>
    <row r="4">
      <c r="A4" s="16" t="n">
        <v>1</v>
      </c>
      <c r="B4" s="17" t="inlineStr">
        <is>
          <t>AUTH</t>
        </is>
      </c>
      <c r="C4" s="16">
        <f>COUNTA(AUTH!$A$4:$A$23)-COUNTIF(AUTH!$A$4:$A$23,"  *")</f>
        <v/>
      </c>
      <c r="D4" s="16">
        <f>COUNTIF(AUTH!$H$4:$H$23,"PASS")</f>
        <v/>
      </c>
      <c r="E4" s="16">
        <f>COUNTIF(AUTH!$H$4:$H$23,"FAIL")</f>
        <v/>
      </c>
      <c r="F4" s="16">
        <f>COUNTIF(AUTH!$H$4:$H$23,"PENDING")</f>
        <v/>
      </c>
      <c r="G4" s="16">
        <f>COUNTIF(AUTH!$H$4:$H$23,"BLOCKED")</f>
        <v/>
      </c>
      <c r="H4" s="16">
        <f>COUNTIF(AUTH!$H$4:$H$23,"N/A")</f>
        <v/>
      </c>
      <c r="I4" s="18">
        <f>IF(C4-H4=0,0,D4/(C4-H4))</f>
        <v/>
      </c>
    </row>
    <row r="5">
      <c r="A5" s="19" t="n">
        <v>2</v>
      </c>
      <c r="B5" s="20" t="inlineStr">
        <is>
          <t>PATIENT_SOS</t>
        </is>
      </c>
      <c r="C5" s="19">
        <f>COUNTA(PATIENT_SOS!$A$4:$A$21)-COUNTIF(PATIENT_SOS!$A$4:$A$21,"  *")</f>
        <v/>
      </c>
      <c r="D5" s="19">
        <f>COUNTIF(PATIENT_SOS!$H$4:$H$21,"PASS")</f>
        <v/>
      </c>
      <c r="E5" s="19">
        <f>COUNTIF(PATIENT_SOS!$H$4:$H$21,"FAIL")</f>
        <v/>
      </c>
      <c r="F5" s="19">
        <f>COUNTIF(PATIENT_SOS!$H$4:$H$21,"PENDING")</f>
        <v/>
      </c>
      <c r="G5" s="19">
        <f>COUNTIF(PATIENT_SOS!$H$4:$H$21,"BLOCKED")</f>
        <v/>
      </c>
      <c r="H5" s="19">
        <f>COUNTIF(PATIENT_SOS!$H$4:$H$21,"N/A")</f>
        <v/>
      </c>
      <c r="I5" s="21">
        <f>IF(C5-H5=0,0,D5/(C5-H5))</f>
        <v/>
      </c>
    </row>
    <row r="6">
      <c r="A6" s="16" t="n">
        <v>3</v>
      </c>
      <c r="B6" s="17" t="inlineStr">
        <is>
          <t>SECURITY_SOS</t>
        </is>
      </c>
      <c r="C6" s="16">
        <f>COUNTA(SECURITY_SOS!$A$4:$A$18)-COUNTIF(SECURITY_SOS!$A$4:$A$18,"  *")</f>
        <v/>
      </c>
      <c r="D6" s="16">
        <f>COUNTIF(SECURITY_SOS!$H$4:$H$18,"PASS")</f>
        <v/>
      </c>
      <c r="E6" s="16">
        <f>COUNTIF(SECURITY_SOS!$H$4:$H$18,"FAIL")</f>
        <v/>
      </c>
      <c r="F6" s="16">
        <f>COUNTIF(SECURITY_SOS!$H$4:$H$18,"PENDING")</f>
        <v/>
      </c>
      <c r="G6" s="16">
        <f>COUNTIF(SECURITY_SOS!$H$4:$H$18,"BLOCKED")</f>
        <v/>
      </c>
      <c r="H6" s="16">
        <f>COUNTIF(SECURITY_SOS!$H$4:$H$18,"N/A")</f>
        <v/>
      </c>
      <c r="I6" s="18">
        <f>IF(C6-H6=0,0,D6/(C6-H6))</f>
        <v/>
      </c>
    </row>
    <row r="7">
      <c r="A7" s="19" t="n">
        <v>4</v>
      </c>
      <c r="B7" s="20" t="inlineStr">
        <is>
          <t>RESPONDER</t>
        </is>
      </c>
      <c r="C7" s="19">
        <f>COUNTA(RESPONDER!$A$4:$A$21)-COUNTIF(RESPONDER!$A$4:$A$21,"  *")</f>
        <v/>
      </c>
      <c r="D7" s="19">
        <f>COUNTIF(RESPONDER!$H$4:$H$21,"PASS")</f>
        <v/>
      </c>
      <c r="E7" s="19">
        <f>COUNTIF(RESPONDER!$H$4:$H$21,"FAIL")</f>
        <v/>
      </c>
      <c r="F7" s="19">
        <f>COUNTIF(RESPONDER!$H$4:$H$21,"PENDING")</f>
        <v/>
      </c>
      <c r="G7" s="19">
        <f>COUNTIF(RESPONDER!$H$4:$H$21,"BLOCKED")</f>
        <v/>
      </c>
      <c r="H7" s="19">
        <f>COUNTIF(RESPONDER!$H$4:$H$21,"N/A")</f>
        <v/>
      </c>
      <c r="I7" s="21">
        <f>IF(C7-H7=0,0,D7/(C7-H7))</f>
        <v/>
      </c>
    </row>
    <row r="8">
      <c r="A8" s="16" t="n">
        <v>5</v>
      </c>
      <c r="B8" s="17" t="inlineStr">
        <is>
          <t>CAREGIVER</t>
        </is>
      </c>
      <c r="C8" s="16">
        <f>COUNTA(CAREGIVER!$A$4:$A$15)-COUNTIF(CAREGIVER!$A$4:$A$15,"  *")</f>
        <v/>
      </c>
      <c r="D8" s="16">
        <f>COUNTIF(CAREGIVER!$H$4:$H$15,"PASS")</f>
        <v/>
      </c>
      <c r="E8" s="16">
        <f>COUNTIF(CAREGIVER!$H$4:$H$15,"FAIL")</f>
        <v/>
      </c>
      <c r="F8" s="16">
        <f>COUNTIF(CAREGIVER!$H$4:$H$15,"PENDING")</f>
        <v/>
      </c>
      <c r="G8" s="16">
        <f>COUNTIF(CAREGIVER!$H$4:$H$15,"BLOCKED")</f>
        <v/>
      </c>
      <c r="H8" s="16">
        <f>COUNTIF(CAREGIVER!$H$4:$H$15,"N/A")</f>
        <v/>
      </c>
      <c r="I8" s="18">
        <f>IF(C8-H8=0,0,D8/(C8-H8))</f>
        <v/>
      </c>
    </row>
    <row r="9">
      <c r="A9" s="19" t="n">
        <v>6</v>
      </c>
      <c r="B9" s="20" t="inlineStr">
        <is>
          <t>MEDICAL</t>
        </is>
      </c>
      <c r="C9" s="19">
        <f>COUNTA(MEDICAL!$A$4:$A$14)-COUNTIF(MEDICAL!$A$4:$A$14,"  *")</f>
        <v/>
      </c>
      <c r="D9" s="19">
        <f>COUNTIF(MEDICAL!$H$4:$H$14,"PASS")</f>
        <v/>
      </c>
      <c r="E9" s="19">
        <f>COUNTIF(MEDICAL!$H$4:$H$14,"FAIL")</f>
        <v/>
      </c>
      <c r="F9" s="19">
        <f>COUNTIF(MEDICAL!$H$4:$H$14,"PENDING")</f>
        <v/>
      </c>
      <c r="G9" s="19">
        <f>COUNTIF(MEDICAL!$H$4:$H$14,"BLOCKED")</f>
        <v/>
      </c>
      <c r="H9" s="19">
        <f>COUNTIF(MEDICAL!$H$4:$H$14,"N/A")</f>
        <v/>
      </c>
      <c r="I9" s="21">
        <f>IF(C9-H9=0,0,D9/(C9-H9))</f>
        <v/>
      </c>
    </row>
    <row r="10">
      <c r="A10" s="16" t="n">
        <v>7</v>
      </c>
      <c r="B10" s="17" t="inlineStr">
        <is>
          <t>CHAT</t>
        </is>
      </c>
      <c r="C10" s="16">
        <f>COUNTA(CHAT!$A$4:$A$17)-COUNTIF(CHAT!$A$4:$A$17,"  *")</f>
        <v/>
      </c>
      <c r="D10" s="16">
        <f>COUNTIF(CHAT!$H$4:$H$17,"PASS")</f>
        <v/>
      </c>
      <c r="E10" s="16">
        <f>COUNTIF(CHAT!$H$4:$H$17,"FAIL")</f>
        <v/>
      </c>
      <c r="F10" s="16">
        <f>COUNTIF(CHAT!$H$4:$H$17,"PENDING")</f>
        <v/>
      </c>
      <c r="G10" s="16">
        <f>COUNTIF(CHAT!$H$4:$H$17,"BLOCKED")</f>
        <v/>
      </c>
      <c r="H10" s="16">
        <f>COUNTIF(CHAT!$H$4:$H$17,"N/A")</f>
        <v/>
      </c>
      <c r="I10" s="18">
        <f>IF(C10-H10=0,0,D10/(C10-H10))</f>
        <v/>
      </c>
    </row>
    <row r="11">
      <c r="A11" s="19" t="n">
        <v>8</v>
      </c>
      <c r="B11" s="20" t="inlineStr">
        <is>
          <t>PRIVACY_CALLS</t>
        </is>
      </c>
      <c r="C11" s="19">
        <f>COUNTA(PRIVACY_CALLS!$A$4:$A$40)-COUNTIF(PRIVACY_CALLS!$A$4:$A$40,"  *")</f>
        <v/>
      </c>
      <c r="D11" s="19">
        <f>COUNTIF(PRIVACY_CALLS!$H$4:$H$40,"PASS")</f>
        <v/>
      </c>
      <c r="E11" s="19">
        <f>COUNTIF(PRIVACY_CALLS!$H$4:$H$40,"FAIL")</f>
        <v/>
      </c>
      <c r="F11" s="19">
        <f>COUNTIF(PRIVACY_CALLS!$H$4:$H$40,"PENDING")</f>
        <v/>
      </c>
      <c r="G11" s="19">
        <f>COUNTIF(PRIVACY_CALLS!$H$4:$H$40,"BLOCKED")</f>
        <v/>
      </c>
      <c r="H11" s="19">
        <f>COUNTIF(PRIVACY_CALLS!$H$4:$H$40,"N/A")</f>
        <v/>
      </c>
      <c r="I11" s="21">
        <f>IF(C11-H11=0,0,D11/(C11-H11))</f>
        <v/>
      </c>
    </row>
    <row r="12">
      <c r="A12" s="16" t="n">
        <v>9</v>
      </c>
      <c r="B12" s="17" t="inlineStr">
        <is>
          <t>PROFILE</t>
        </is>
      </c>
      <c r="C12" s="16">
        <f>COUNTA(PROFILE!$A$4:$A$9)-COUNTIF(PROFILE!$A$4:$A$9,"  *")</f>
        <v/>
      </c>
      <c r="D12" s="16">
        <f>COUNTIF(PROFILE!$H$4:$H$9,"PASS")</f>
        <v/>
      </c>
      <c r="E12" s="16">
        <f>COUNTIF(PROFILE!$H$4:$H$9,"FAIL")</f>
        <v/>
      </c>
      <c r="F12" s="16">
        <f>COUNTIF(PROFILE!$H$4:$H$9,"PENDING")</f>
        <v/>
      </c>
      <c r="G12" s="16">
        <f>COUNTIF(PROFILE!$H$4:$H$9,"BLOCKED")</f>
        <v/>
      </c>
      <c r="H12" s="16">
        <f>COUNTIF(PROFILE!$H$4:$H$9,"N/A")</f>
        <v/>
      </c>
      <c r="I12" s="18">
        <f>IF(C12-H12=0,0,D12/(C12-H12))</f>
        <v/>
      </c>
    </row>
    <row r="13">
      <c r="A13" s="19" t="n">
        <v>10</v>
      </c>
      <c r="B13" s="20" t="inlineStr">
        <is>
          <t>ACCESSIBILITY</t>
        </is>
      </c>
      <c r="C13" s="19">
        <f>COUNTA(ACCESSIBILITY!$A$4:$A$22)-COUNTIF(ACCESSIBILITY!$A$4:$A$22,"  *")</f>
        <v/>
      </c>
      <c r="D13" s="19">
        <f>COUNTIF(ACCESSIBILITY!$H$4:$H$22,"PASS")</f>
        <v/>
      </c>
      <c r="E13" s="19">
        <f>COUNTIF(ACCESSIBILITY!$H$4:$H$22,"FAIL")</f>
        <v/>
      </c>
      <c r="F13" s="19">
        <f>COUNTIF(ACCESSIBILITY!$H$4:$H$22,"PENDING")</f>
        <v/>
      </c>
      <c r="G13" s="19">
        <f>COUNTIF(ACCESSIBILITY!$H$4:$H$22,"BLOCKED")</f>
        <v/>
      </c>
      <c r="H13" s="19">
        <f>COUNTIF(ACCESSIBILITY!$H$4:$H$22,"N/A")</f>
        <v/>
      </c>
      <c r="I13" s="21">
        <f>IF(C13-H13=0,0,D13/(C13-H13))</f>
        <v/>
      </c>
    </row>
    <row r="14">
      <c r="A14" s="16" t="n">
        <v>11</v>
      </c>
      <c r="B14" s="17" t="inlineStr">
        <is>
          <t>NOTIFICATIONS</t>
        </is>
      </c>
      <c r="C14" s="16">
        <f>COUNTA(NOTIFICATIONS!$A$4:$A$19)-COUNTIF(NOTIFICATIONS!$A$4:$A$19,"  *")</f>
        <v/>
      </c>
      <c r="D14" s="16">
        <f>COUNTIF(NOTIFICATIONS!$H$4:$H$19,"PASS")</f>
        <v/>
      </c>
      <c r="E14" s="16">
        <f>COUNTIF(NOTIFICATIONS!$H$4:$H$19,"FAIL")</f>
        <v/>
      </c>
      <c r="F14" s="16">
        <f>COUNTIF(NOTIFICATIONS!$H$4:$H$19,"PENDING")</f>
        <v/>
      </c>
      <c r="G14" s="16">
        <f>COUNTIF(NOTIFICATIONS!$H$4:$H$19,"BLOCKED")</f>
        <v/>
      </c>
      <c r="H14" s="16">
        <f>COUNTIF(NOTIFICATIONS!$H$4:$H$19,"N/A")</f>
        <v/>
      </c>
      <c r="I14" s="18">
        <f>IF(C14-H14=0,0,D14/(C14-H14))</f>
        <v/>
      </c>
    </row>
    <row r="15">
      <c r="A15" s="19" t="n">
        <v>12</v>
      </c>
      <c r="B15" s="20" t="inlineStr">
        <is>
          <t>NAVIGATION_UI</t>
        </is>
      </c>
      <c r="C15" s="19">
        <f>COUNTA(NAVIGATION_UI!$A$4:$A$8)-COUNTIF(NAVIGATION_UI!$A$4:$A$8,"  *")</f>
        <v/>
      </c>
      <c r="D15" s="19">
        <f>COUNTIF(NAVIGATION_UI!$H$4:$H$8,"PASS")</f>
        <v/>
      </c>
      <c r="E15" s="19">
        <f>COUNTIF(NAVIGATION_UI!$H$4:$H$8,"FAIL")</f>
        <v/>
      </c>
      <c r="F15" s="19">
        <f>COUNTIF(NAVIGATION_UI!$H$4:$H$8,"PENDING")</f>
        <v/>
      </c>
      <c r="G15" s="19">
        <f>COUNTIF(NAVIGATION_UI!$H$4:$H$8,"BLOCKED")</f>
        <v/>
      </c>
      <c r="H15" s="19">
        <f>COUNTIF(NAVIGATION_UI!$H$4:$H$8,"N/A")</f>
        <v/>
      </c>
      <c r="I15" s="21">
        <f>IF(C15-H15=0,0,D15/(C15-H15))</f>
        <v/>
      </c>
    </row>
    <row r="16">
      <c r="A16" s="16" t="n">
        <v>13</v>
      </c>
      <c r="B16" s="17" t="inlineStr">
        <is>
          <t>ADMIN_PORTAL</t>
        </is>
      </c>
      <c r="C16" s="16">
        <f>COUNTA(ADMIN_PORTAL!$A$4:$A$19)-COUNTIF(ADMIN_PORTAL!$A$4:$A$19,"  *")</f>
        <v/>
      </c>
      <c r="D16" s="16">
        <f>COUNTIF(ADMIN_PORTAL!$H$4:$H$19,"PASS")</f>
        <v/>
      </c>
      <c r="E16" s="16">
        <f>COUNTIF(ADMIN_PORTAL!$H$4:$H$19,"FAIL")</f>
        <v/>
      </c>
      <c r="F16" s="16">
        <f>COUNTIF(ADMIN_PORTAL!$H$4:$H$19,"PENDING")</f>
        <v/>
      </c>
      <c r="G16" s="16">
        <f>COUNTIF(ADMIN_PORTAL!$H$4:$H$19,"BLOCKED")</f>
        <v/>
      </c>
      <c r="H16" s="16">
        <f>COUNTIF(ADMIN_PORTAL!$H$4:$H$19,"N/A")</f>
        <v/>
      </c>
      <c r="I16" s="18">
        <f>IF(C16-H16=0,0,D16/(C16-H16))</f>
        <v/>
      </c>
    </row>
    <row r="17">
      <c r="A17" s="19" t="n">
        <v>14</v>
      </c>
      <c r="B17" s="20" t="inlineStr">
        <is>
          <t>BACKEND_API</t>
        </is>
      </c>
      <c r="C17" s="19">
        <f>COUNTA(BACKEND_API!$A$4:$A$23)-COUNTIF(BACKEND_API!$A$4:$A$23,"  *")</f>
        <v/>
      </c>
      <c r="D17" s="19">
        <f>COUNTIF(BACKEND_API!$H$4:$H$23,"PASS")</f>
        <v/>
      </c>
      <c r="E17" s="19">
        <f>COUNTIF(BACKEND_API!$H$4:$H$23,"FAIL")</f>
        <v/>
      </c>
      <c r="F17" s="19">
        <f>COUNTIF(BACKEND_API!$H$4:$H$23,"PENDING")</f>
        <v/>
      </c>
      <c r="G17" s="19">
        <f>COUNTIF(BACKEND_API!$H$4:$H$23,"BLOCKED")</f>
        <v/>
      </c>
      <c r="H17" s="19">
        <f>COUNTIF(BACKEND_API!$H$4:$H$23,"N/A")</f>
        <v/>
      </c>
      <c r="I17" s="21">
        <f>IF(C17-H17=0,0,D17/(C17-H17))</f>
        <v/>
      </c>
    </row>
    <row r="18">
      <c r="A18" s="22" t="n"/>
      <c r="B18" s="23" t="inlineStr">
        <is>
          <t>TOTAL</t>
        </is>
      </c>
      <c r="C18" s="22">
        <f>SUM(C4:C17)</f>
        <v/>
      </c>
      <c r="D18" s="22">
        <f>SUM(D4:D17)</f>
        <v/>
      </c>
      <c r="E18" s="22">
        <f>SUM(E4:E17)</f>
        <v/>
      </c>
      <c r="F18" s="22">
        <f>SUM(F4:F17)</f>
        <v/>
      </c>
      <c r="G18" s="22">
        <f>SUM(G4:G17)</f>
        <v/>
      </c>
      <c r="H18" s="22">
        <f>SUM(H4:H17)</f>
        <v/>
      </c>
      <c r="I18" s="24">
        <f>IF(C18-H18=0,0,D18/(C18-H18))</f>
        <v/>
      </c>
    </row>
    <row r="20">
      <c r="B20" s="25" t="inlineStr">
        <is>
          <t>Totals count test rows (section headers excluded). Pass Rate = PASS ÷ (Total − N/A).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12" customWidth="1" min="4" max="4"/>
    <col width="14" customWidth="1" min="5" max="5"/>
    <col width="44" customWidth="1" min="6" max="6"/>
  </cols>
  <sheetData>
    <row r="1" ht="28" customHeight="1">
      <c r="A1" s="26" t="inlineStr">
        <is>
          <t>MediFind — SRS Functional Requirement Traceability</t>
        </is>
      </c>
    </row>
    <row r="2">
      <c r="A2" s="15" t="inlineStr">
        <is>
          <t>FR ID</t>
        </is>
      </c>
      <c r="B2" s="15" t="inlineStr">
        <is>
          <t>Module</t>
        </is>
      </c>
      <c r="C2" s="15" t="inlineStr">
        <is>
          <t>Requirement (SRS)</t>
        </is>
      </c>
      <c r="D2" s="15" t="inlineStr">
        <is>
          <t>Test Cases</t>
        </is>
      </c>
      <c r="E2" s="15" t="inlineStr">
        <is>
          <t>Coverage</t>
        </is>
      </c>
      <c r="F2" s="15" t="inlineStr">
        <is>
          <t>Test Case IDs</t>
        </is>
      </c>
    </row>
    <row r="3" ht="30" customHeight="1">
      <c r="A3" s="27" t="inlineStr">
        <is>
          <t>FR1.1</t>
        </is>
      </c>
      <c r="B3" s="28" t="inlineStr">
        <is>
          <t>Authentication</t>
        </is>
      </c>
      <c r="C3" s="28" t="inlineStr">
        <is>
          <t>Register via email, full name, phone number, and role selection</t>
        </is>
      </c>
      <c r="D3" s="29">
        <f>COUNTIF(AUTH!$B$4:$B$23,"*FR1.1*")+COUNTIF(PATIENT_SOS!$B$4:$B$21,"*FR1.1*")+COUNTIF(SECURITY_SOS!$B$4:$B$18,"*FR1.1*")+COUNTIF(RESPONDER!$B$4:$B$21,"*FR1.1*")+COUNTIF(CAREGIVER!$B$4:$B$15,"*FR1.1*")+COUNTIF(MEDICAL!$B$4:$B$14,"*FR1.1*")+COUNTIF(CHAT!$B$4:$B$17,"*FR1.1*")+COUNTIF(PRIVACY_CALLS!$B$4:$B$40,"*FR1.1*")+COUNTIF(PROFILE!$B$4:$B$9,"*FR1.1*")+COUNTIF(ACCESSIBILITY!$B$4:$B$22,"*FR1.1*")+COUNTIF(NOTIFICATIONS!$B$4:$B$19,"*FR1.1*")+COUNTIF(NAVIGATION_UI!$B$4:$B$8,"*FR1.1*")+COUNTIF(ADMIN_PORTAL!$B$4:$B$19,"*FR1.1*")+COUNTIF(BACKEND_API!$B$4:$B$23,"*FR1.1*")</f>
        <v/>
      </c>
      <c r="E3" s="29">
        <f>IF(D3&gt;=2,"Covered",IF(D3=1,"Minimal","GAP"))</f>
        <v/>
      </c>
      <c r="F3" s="28" t="inlineStr">
        <is>
          <t>AUTH-01, AUTH-02, AUTH-03, AUTH-04, AUTH-05, AUTH-06, API-01</t>
        </is>
      </c>
    </row>
    <row r="4" ht="30" customHeight="1">
      <c r="A4" s="30" t="inlineStr">
        <is>
          <t>FR1.2</t>
        </is>
      </c>
      <c r="B4" s="31" t="inlineStr">
        <is>
          <t>Authentication</t>
        </is>
      </c>
      <c r="C4" s="31" t="inlineStr">
        <is>
          <t>Secure login with email/password + JWT (24h access / 30d refresh)</t>
        </is>
      </c>
      <c r="D4" s="32">
        <f>COUNTIF(AUTH!$B$4:$B$23,"*FR1.2*")+COUNTIF(PATIENT_SOS!$B$4:$B$21,"*FR1.2*")+COUNTIF(SECURITY_SOS!$B$4:$B$18,"*FR1.2*")+COUNTIF(RESPONDER!$B$4:$B$21,"*FR1.2*")+COUNTIF(CAREGIVER!$B$4:$B$15,"*FR1.2*")+COUNTIF(MEDICAL!$B$4:$B$14,"*FR1.2*")+COUNTIF(CHAT!$B$4:$B$17,"*FR1.2*")+COUNTIF(PRIVACY_CALLS!$B$4:$B$40,"*FR1.2*")+COUNTIF(PROFILE!$B$4:$B$9,"*FR1.2*")+COUNTIF(ACCESSIBILITY!$B$4:$B$22,"*FR1.2*")+COUNTIF(NOTIFICATIONS!$B$4:$B$19,"*FR1.2*")+COUNTIF(NAVIGATION_UI!$B$4:$B$8,"*FR1.2*")+COUNTIF(ADMIN_PORTAL!$B$4:$B$19,"*FR1.2*")+COUNTIF(BACKEND_API!$B$4:$B$23,"*FR1.2*")</f>
        <v/>
      </c>
      <c r="E4" s="32">
        <f>IF(D4&gt;=2,"Covered",IF(D4=1,"Minimal","GAP"))</f>
        <v/>
      </c>
      <c r="F4" s="31" t="inlineStr">
        <is>
          <t>AUTH-07, AUTH-08, AUTH-09, AUTH-10, AUTH-11, AUTH-13, API-02, API-03</t>
        </is>
      </c>
    </row>
    <row r="5" ht="30" customHeight="1">
      <c r="A5" s="27" t="inlineStr">
        <is>
          <t>FR1.3</t>
        </is>
      </c>
      <c r="B5" s="28" t="inlineStr">
        <is>
          <t>Authentication</t>
        </is>
      </c>
      <c r="C5" s="28" t="inlineStr">
        <is>
          <t>Three mobile roles: Patient, Caregiver, Emergency Responder</t>
        </is>
      </c>
      <c r="D5" s="29">
        <f>COUNTIF(AUTH!$B$4:$B$23,"*FR1.3*")+COUNTIF(PATIENT_SOS!$B$4:$B$21,"*FR1.3*")+COUNTIF(SECURITY_SOS!$B$4:$B$18,"*FR1.3*")+COUNTIF(RESPONDER!$B$4:$B$21,"*FR1.3*")+COUNTIF(CAREGIVER!$B$4:$B$15,"*FR1.3*")+COUNTIF(MEDICAL!$B$4:$B$14,"*FR1.3*")+COUNTIF(CHAT!$B$4:$B$17,"*FR1.3*")+COUNTIF(PRIVACY_CALLS!$B$4:$B$40,"*FR1.3*")+COUNTIF(PROFILE!$B$4:$B$9,"*FR1.3*")+COUNTIF(ACCESSIBILITY!$B$4:$B$22,"*FR1.3*")+COUNTIF(NOTIFICATIONS!$B$4:$B$19,"*FR1.3*")+COUNTIF(NAVIGATION_UI!$B$4:$B$8,"*FR1.3*")+COUNTIF(ADMIN_PORTAL!$B$4:$B$19,"*FR1.3*")+COUNTIF(BACKEND_API!$B$4:$B$23,"*FR1.3*")</f>
        <v/>
      </c>
      <c r="E5" s="29">
        <f>IF(D5&gt;=2,"Covered",IF(D5=1,"Minimal","GAP"))</f>
        <v/>
      </c>
      <c r="F5" s="28" t="inlineStr">
        <is>
          <t>AUTH-01, AUTH-04</t>
        </is>
      </c>
    </row>
    <row r="6" ht="30" customHeight="1">
      <c r="A6" s="30" t="inlineStr">
        <is>
          <t>FR1.4</t>
        </is>
      </c>
      <c r="B6" s="31" t="inlineStr">
        <is>
          <t>Authentication</t>
        </is>
      </c>
      <c r="C6" s="31" t="inlineStr">
        <is>
          <t>Administrator role via secure web dashboard</t>
        </is>
      </c>
      <c r="D6" s="32">
        <f>COUNTIF(AUTH!$B$4:$B$23,"*FR1.4*")+COUNTIF(PATIENT_SOS!$B$4:$B$21,"*FR1.4*")+COUNTIF(SECURITY_SOS!$B$4:$B$18,"*FR1.4*")+COUNTIF(RESPONDER!$B$4:$B$21,"*FR1.4*")+COUNTIF(CAREGIVER!$B$4:$B$15,"*FR1.4*")+COUNTIF(MEDICAL!$B$4:$B$14,"*FR1.4*")+COUNTIF(CHAT!$B$4:$B$17,"*FR1.4*")+COUNTIF(PRIVACY_CALLS!$B$4:$B$40,"*FR1.4*")+COUNTIF(PROFILE!$B$4:$B$9,"*FR1.4*")+COUNTIF(ACCESSIBILITY!$B$4:$B$22,"*FR1.4*")+COUNTIF(NOTIFICATIONS!$B$4:$B$19,"*FR1.4*")+COUNTIF(NAVIGATION_UI!$B$4:$B$8,"*FR1.4*")+COUNTIF(ADMIN_PORTAL!$B$4:$B$19,"*FR1.4*")+COUNTIF(BACKEND_API!$B$4:$B$23,"*FR1.4*")</f>
        <v/>
      </c>
      <c r="E6" s="32">
        <f>IF(D6&gt;=2,"Covered",IF(D6=1,"Minimal","GAP"))</f>
        <v/>
      </c>
      <c r="F6" s="31" t="inlineStr">
        <is>
          <t>AUTH-16</t>
        </is>
      </c>
    </row>
    <row r="7" ht="30" customHeight="1">
      <c r="A7" s="27" t="inlineStr">
        <is>
          <t>FR1.5</t>
        </is>
      </c>
      <c r="B7" s="28" t="inlineStr">
        <is>
          <t>Authentication</t>
        </is>
      </c>
      <c r="C7" s="28" t="inlineStr">
        <is>
          <t>Password reset via email verification + OTP</t>
        </is>
      </c>
      <c r="D7" s="29">
        <f>COUNTIF(AUTH!$B$4:$B$23,"*FR1.5*")+COUNTIF(PATIENT_SOS!$B$4:$B$21,"*FR1.5*")+COUNTIF(SECURITY_SOS!$B$4:$B$18,"*FR1.5*")+COUNTIF(RESPONDER!$B$4:$B$21,"*FR1.5*")+COUNTIF(CAREGIVER!$B$4:$B$15,"*FR1.5*")+COUNTIF(MEDICAL!$B$4:$B$14,"*FR1.5*")+COUNTIF(CHAT!$B$4:$B$17,"*FR1.5*")+COUNTIF(PRIVACY_CALLS!$B$4:$B$40,"*FR1.5*")+COUNTIF(PROFILE!$B$4:$B$9,"*FR1.5*")+COUNTIF(ACCESSIBILITY!$B$4:$B$22,"*FR1.5*")+COUNTIF(NOTIFICATIONS!$B$4:$B$19,"*FR1.5*")+COUNTIF(NAVIGATION_UI!$B$4:$B$8,"*FR1.5*")+COUNTIF(ADMIN_PORTAL!$B$4:$B$19,"*FR1.5*")+COUNTIF(BACKEND_API!$B$4:$B$23,"*FR1.5*")</f>
        <v/>
      </c>
      <c r="E7" s="29">
        <f>IF(D7&gt;=2,"Covered",IF(D7=1,"Minimal","GAP"))</f>
        <v/>
      </c>
      <c r="F7" s="28" t="inlineStr">
        <is>
          <t>AUTH-14, AUTH-15</t>
        </is>
      </c>
    </row>
    <row r="8" ht="30" customHeight="1">
      <c r="A8" s="30" t="inlineStr">
        <is>
          <t>FR1.6</t>
        </is>
      </c>
      <c r="B8" s="31" t="inlineStr">
        <is>
          <t>Authentication</t>
        </is>
      </c>
      <c r="C8" s="31" t="inlineStr">
        <is>
          <t>Role-Based Access Control (RBAC)</t>
        </is>
      </c>
      <c r="D8" s="32">
        <f>COUNTIF(AUTH!$B$4:$B$23,"*FR1.6*")+COUNTIF(PATIENT_SOS!$B$4:$B$21,"*FR1.6*")+COUNTIF(SECURITY_SOS!$B$4:$B$18,"*FR1.6*")+COUNTIF(RESPONDER!$B$4:$B$21,"*FR1.6*")+COUNTIF(CAREGIVER!$B$4:$B$15,"*FR1.6*")+COUNTIF(MEDICAL!$B$4:$B$14,"*FR1.6*")+COUNTIF(CHAT!$B$4:$B$17,"*FR1.6*")+COUNTIF(PRIVACY_CALLS!$B$4:$B$40,"*FR1.6*")+COUNTIF(PROFILE!$B$4:$B$9,"*FR1.6*")+COUNTIF(ACCESSIBILITY!$B$4:$B$22,"*FR1.6*")+COUNTIF(NOTIFICATIONS!$B$4:$B$19,"*FR1.6*")+COUNTIF(NAVIGATION_UI!$B$4:$B$8,"*FR1.6*")+COUNTIF(ADMIN_PORTAL!$B$4:$B$19,"*FR1.6*")+COUNTIF(BACKEND_API!$B$4:$B$23,"*FR1.6*")</f>
        <v/>
      </c>
      <c r="E8" s="32">
        <f>IF(D8&gt;=2,"Covered",IF(D8=1,"Minimal","GAP"))</f>
        <v/>
      </c>
      <c r="F8" s="31" t="inlineStr">
        <is>
          <t>AUTH-07, AUTH-16, SEC-10, SEC-11, CG-04, API-10, API-11</t>
        </is>
      </c>
    </row>
    <row r="9" ht="30" customHeight="1">
      <c r="A9" s="27" t="inlineStr">
        <is>
          <t>FR2.1</t>
        </is>
      </c>
      <c r="B9" s="28" t="inlineStr">
        <is>
          <t>Medical Profile</t>
        </is>
      </c>
      <c r="C9" s="28" t="inlineStr">
        <is>
          <t>Patients create and maintain a digital medical profile</t>
        </is>
      </c>
      <c r="D9" s="29">
        <f>COUNTIF(AUTH!$B$4:$B$23,"*FR2.1*")+COUNTIF(PATIENT_SOS!$B$4:$B$21,"*FR2.1*")+COUNTIF(SECURITY_SOS!$B$4:$B$18,"*FR2.1*")+COUNTIF(RESPONDER!$B$4:$B$21,"*FR2.1*")+COUNTIF(CAREGIVER!$B$4:$B$15,"*FR2.1*")+COUNTIF(MEDICAL!$B$4:$B$14,"*FR2.1*")+COUNTIF(CHAT!$B$4:$B$17,"*FR2.1*")+COUNTIF(PRIVACY_CALLS!$B$4:$B$40,"*FR2.1*")+COUNTIF(PROFILE!$B$4:$B$9,"*FR2.1*")+COUNTIF(ACCESSIBILITY!$B$4:$B$22,"*FR2.1*")+COUNTIF(NOTIFICATIONS!$B$4:$B$19,"*FR2.1*")+COUNTIF(NAVIGATION_UI!$B$4:$B$8,"*FR2.1*")+COUNTIF(ADMIN_PORTAL!$B$4:$B$19,"*FR2.1*")+COUNTIF(BACKEND_API!$B$4:$B$23,"*FR2.1*")</f>
        <v/>
      </c>
      <c r="E9" s="29">
        <f>IF(D9&gt;=2,"Covered",IF(D9=1,"Minimal","GAP"))</f>
        <v/>
      </c>
      <c r="F9" s="28" t="inlineStr">
        <is>
          <t>MED-01, MED-02, MED-03</t>
        </is>
      </c>
    </row>
    <row r="10" ht="30" customHeight="1">
      <c r="A10" s="30" t="inlineStr">
        <is>
          <t>FR2.2</t>
        </is>
      </c>
      <c r="B10" s="31" t="inlineStr">
        <is>
          <t>Medical Profile</t>
        </is>
      </c>
      <c r="C10" s="31" t="inlineStr">
        <is>
          <t>Profile: Blood Type, Allergies, Chronic Diseases, Medications, Disability Type (DEAF/NORMAL)</t>
        </is>
      </c>
      <c r="D10" s="32">
        <f>COUNTIF(AUTH!$B$4:$B$23,"*FR2.2*")+COUNTIF(PATIENT_SOS!$B$4:$B$21,"*FR2.2*")+COUNTIF(SECURITY_SOS!$B$4:$B$18,"*FR2.2*")+COUNTIF(RESPONDER!$B$4:$B$21,"*FR2.2*")+COUNTIF(CAREGIVER!$B$4:$B$15,"*FR2.2*")+COUNTIF(MEDICAL!$B$4:$B$14,"*FR2.2*")+COUNTIF(CHAT!$B$4:$B$17,"*FR2.2*")+COUNTIF(PRIVACY_CALLS!$B$4:$B$40,"*FR2.2*")+COUNTIF(PROFILE!$B$4:$B$9,"*FR2.2*")+COUNTIF(ACCESSIBILITY!$B$4:$B$22,"*FR2.2*")+COUNTIF(NOTIFICATIONS!$B$4:$B$19,"*FR2.2*")+COUNTIF(NAVIGATION_UI!$B$4:$B$8,"*FR2.2*")+COUNTIF(ADMIN_PORTAL!$B$4:$B$19,"*FR2.2*")+COUNTIF(BACKEND_API!$B$4:$B$23,"*FR2.2*")</f>
        <v/>
      </c>
      <c r="E10" s="32">
        <f>IF(D10&gt;=2,"Covered",IF(D10=1,"Minimal","GAP"))</f>
        <v/>
      </c>
      <c r="F10" s="31" t="inlineStr">
        <is>
          <t>MED-01, MED-04</t>
        </is>
      </c>
    </row>
    <row r="11" ht="30" customHeight="1">
      <c r="A11" s="27" t="inlineStr">
        <is>
          <t>FR2.3</t>
        </is>
      </c>
      <c r="B11" s="28" t="inlineStr">
        <is>
          <t>Medical Profile</t>
        </is>
      </c>
      <c r="C11" s="28" t="inlineStr">
        <is>
          <t>Medical Report Upload — camera or gallery (image/PDF)</t>
        </is>
      </c>
      <c r="D11" s="29">
        <f>COUNTIF(AUTH!$B$4:$B$23,"*FR2.3*")+COUNTIF(PATIENT_SOS!$B$4:$B$21,"*FR2.3*")+COUNTIF(SECURITY_SOS!$B$4:$B$18,"*FR2.3*")+COUNTIF(RESPONDER!$B$4:$B$21,"*FR2.3*")+COUNTIF(CAREGIVER!$B$4:$B$15,"*FR2.3*")+COUNTIF(MEDICAL!$B$4:$B$14,"*FR2.3*")+COUNTIF(CHAT!$B$4:$B$17,"*FR2.3*")+COUNTIF(PRIVACY_CALLS!$B$4:$B$40,"*FR2.3*")+COUNTIF(PROFILE!$B$4:$B$9,"*FR2.3*")+COUNTIF(ACCESSIBILITY!$B$4:$B$22,"*FR2.3*")+COUNTIF(NOTIFICATIONS!$B$4:$B$19,"*FR2.3*")+COUNTIF(NAVIGATION_UI!$B$4:$B$8,"*FR2.3*")+COUNTIF(ADMIN_PORTAL!$B$4:$B$19,"*FR2.3*")+COUNTIF(BACKEND_API!$B$4:$B$23,"*FR2.3*")</f>
        <v/>
      </c>
      <c r="E11" s="29">
        <f>IF(D11&gt;=2,"Covered",IF(D11=1,"Minimal","GAP"))</f>
        <v/>
      </c>
      <c r="F11" s="28" t="inlineStr">
        <is>
          <t>MED-05, MED-06, API-12</t>
        </is>
      </c>
    </row>
    <row r="12" ht="30" customHeight="1">
      <c r="A12" s="30" t="inlineStr">
        <is>
          <t>FR2.4</t>
        </is>
      </c>
      <c r="B12" s="31" t="inlineStr">
        <is>
          <t>Medical Profile</t>
        </is>
      </c>
      <c r="C12" s="31" t="inlineStr">
        <is>
          <t>View, rename, and delete reports</t>
        </is>
      </c>
      <c r="D12" s="32">
        <f>COUNTIF(AUTH!$B$4:$B$23,"*FR2.4*")+COUNTIF(PATIENT_SOS!$B$4:$B$21,"*FR2.4*")+COUNTIF(SECURITY_SOS!$B$4:$B$18,"*FR2.4*")+COUNTIF(RESPONDER!$B$4:$B$21,"*FR2.4*")+COUNTIF(CAREGIVER!$B$4:$B$15,"*FR2.4*")+COUNTIF(MEDICAL!$B$4:$B$14,"*FR2.4*")+COUNTIF(CHAT!$B$4:$B$17,"*FR2.4*")+COUNTIF(PRIVACY_CALLS!$B$4:$B$40,"*FR2.4*")+COUNTIF(PROFILE!$B$4:$B$9,"*FR2.4*")+COUNTIF(ACCESSIBILITY!$B$4:$B$22,"*FR2.4*")+COUNTIF(NOTIFICATIONS!$B$4:$B$19,"*FR2.4*")+COUNTIF(NAVIGATION_UI!$B$4:$B$8,"*FR2.4*")+COUNTIF(ADMIN_PORTAL!$B$4:$B$19,"*FR2.4*")+COUNTIF(BACKEND_API!$B$4:$B$23,"*FR2.4*")</f>
        <v/>
      </c>
      <c r="E12" s="32">
        <f>IF(D12&gt;=2,"Covered",IF(D12=1,"Minimal","GAP"))</f>
        <v/>
      </c>
      <c r="F12" s="31" t="inlineStr">
        <is>
          <t>MED-07</t>
        </is>
      </c>
    </row>
    <row r="13" ht="30" customHeight="1">
      <c r="A13" s="27" t="inlineStr">
        <is>
          <t>FR2.5</t>
        </is>
      </c>
      <c r="B13" s="28" t="inlineStr">
        <is>
          <t>Medical Profile</t>
        </is>
      </c>
      <c r="C13" s="28" t="inlineStr">
        <is>
          <t>Medical summary auto-transmitted to responder during active SOS</t>
        </is>
      </c>
      <c r="D13" s="29">
        <f>COUNTIF(AUTH!$B$4:$B$23,"*FR2.5*")+COUNTIF(PATIENT_SOS!$B$4:$B$21,"*FR2.5*")+COUNTIF(SECURITY_SOS!$B$4:$B$18,"*FR2.5*")+COUNTIF(RESPONDER!$B$4:$B$21,"*FR2.5*")+COUNTIF(CAREGIVER!$B$4:$B$15,"*FR2.5*")+COUNTIF(MEDICAL!$B$4:$B$14,"*FR2.5*")+COUNTIF(CHAT!$B$4:$B$17,"*FR2.5*")+COUNTIF(PRIVACY_CALLS!$B$4:$B$40,"*FR2.5*")+COUNTIF(PROFILE!$B$4:$B$9,"*FR2.5*")+COUNTIF(ACCESSIBILITY!$B$4:$B$22,"*FR2.5*")+COUNTIF(NOTIFICATIONS!$B$4:$B$19,"*FR2.5*")+COUNTIF(NAVIGATION_UI!$B$4:$B$8,"*FR2.5*")+COUNTIF(ADMIN_PORTAL!$B$4:$B$19,"*FR2.5*")+COUNTIF(BACKEND_API!$B$4:$B$23,"*FR2.5*")</f>
        <v/>
      </c>
      <c r="E13" s="29">
        <f>IF(D13&gt;=2,"Covered",IF(D13=1,"Minimal","GAP"))</f>
        <v/>
      </c>
      <c r="F13" s="28" t="inlineStr">
        <is>
          <t>RSP-02, MED-08</t>
        </is>
      </c>
    </row>
    <row r="14" ht="30" customHeight="1">
      <c r="A14" s="30" t="inlineStr">
        <is>
          <t>FR2.6</t>
        </is>
      </c>
      <c r="B14" s="31" t="inlineStr">
        <is>
          <t>Medical Profile</t>
        </is>
      </c>
      <c r="C14" s="31" t="inlineStr">
        <is>
          <t>HIPAA-compliant data isolation — reports only visible to patient + active responder</t>
        </is>
      </c>
      <c r="D14" s="32">
        <f>COUNTIF(AUTH!$B$4:$B$23,"*FR2.6*")+COUNTIF(PATIENT_SOS!$B$4:$B$21,"*FR2.6*")+COUNTIF(SECURITY_SOS!$B$4:$B$18,"*FR2.6*")+COUNTIF(RESPONDER!$B$4:$B$21,"*FR2.6*")+COUNTIF(CAREGIVER!$B$4:$B$15,"*FR2.6*")+COUNTIF(MEDICAL!$B$4:$B$14,"*FR2.6*")+COUNTIF(CHAT!$B$4:$B$17,"*FR2.6*")+COUNTIF(PRIVACY_CALLS!$B$4:$B$40,"*FR2.6*")+COUNTIF(PROFILE!$B$4:$B$9,"*FR2.6*")+COUNTIF(ACCESSIBILITY!$B$4:$B$22,"*FR2.6*")+COUNTIF(NOTIFICATIONS!$B$4:$B$19,"*FR2.6*")+COUNTIF(NAVIGATION_UI!$B$4:$B$8,"*FR2.6*")+COUNTIF(ADMIN_PORTAL!$B$4:$B$19,"*FR2.6*")+COUNTIF(BACKEND_API!$B$4:$B$23,"*FR2.6*")</f>
        <v/>
      </c>
      <c r="E14" s="32">
        <f>IF(D14&gt;=2,"Covered",IF(D14=1,"Minimal","GAP"))</f>
        <v/>
      </c>
      <c r="F14" s="31" t="inlineStr">
        <is>
          <t>MED-09, API-15</t>
        </is>
      </c>
    </row>
    <row r="15" ht="30" customHeight="1">
      <c r="A15" s="27" t="inlineStr">
        <is>
          <t>FR3.1</t>
        </is>
      </c>
      <c r="B15" s="28" t="inlineStr">
        <is>
          <t>Accessibility</t>
        </is>
      </c>
      <c r="C15" s="28" t="inlineStr">
        <is>
          <t>Specialized UI modes based on disability type (visual accessibility for deaf users)</t>
        </is>
      </c>
      <c r="D15" s="29">
        <f>COUNTIF(AUTH!$B$4:$B$23,"*FR3.1*")+COUNTIF(PATIENT_SOS!$B$4:$B$21,"*FR3.1*")+COUNTIF(SECURITY_SOS!$B$4:$B$18,"*FR3.1*")+COUNTIF(RESPONDER!$B$4:$B$21,"*FR3.1*")+COUNTIF(CAREGIVER!$B$4:$B$15,"*FR3.1*")+COUNTIF(MEDICAL!$B$4:$B$14,"*FR3.1*")+COUNTIF(CHAT!$B$4:$B$17,"*FR3.1*")+COUNTIF(PRIVACY_CALLS!$B$4:$B$40,"*FR3.1*")+COUNTIF(PROFILE!$B$4:$B$9,"*FR3.1*")+COUNTIF(ACCESSIBILITY!$B$4:$B$22,"*FR3.1*")+COUNTIF(NOTIFICATIONS!$B$4:$B$19,"*FR3.1*")+COUNTIF(NAVIGATION_UI!$B$4:$B$8,"*FR3.1*")+COUNTIF(ADMIN_PORTAL!$B$4:$B$19,"*FR3.1*")+COUNTIF(BACKEND_API!$B$4:$B$23,"*FR3.1*")</f>
        <v/>
      </c>
      <c r="E15" s="29">
        <f>IF(D15&gt;=2,"Covered",IF(D15=1,"Minimal","GAP"))</f>
        <v/>
      </c>
      <c r="F15" s="28" t="inlineStr">
        <is>
          <t>AUTH-02, SOS-02, SOS-07, SOS-08, CG-03, CHT-03, CHT-06, PHN-04, CALL-03, CALL-11, ACC-01, ACC-02, ACC-04, ACC-12</t>
        </is>
      </c>
    </row>
    <row r="16" ht="30" customHeight="1">
      <c r="A16" s="30" t="inlineStr">
        <is>
          <t>FR3.2</t>
        </is>
      </c>
      <c r="B16" s="31" t="inlineStr">
        <is>
          <t>Accessibility</t>
        </is>
      </c>
      <c r="C16" s="31" t="inlineStr">
        <is>
          <t>High-contrast themes + dynamic font scaling (up to 150%)</t>
        </is>
      </c>
      <c r="D16" s="32">
        <f>COUNTIF(AUTH!$B$4:$B$23,"*FR3.2*")+COUNTIF(PATIENT_SOS!$B$4:$B$21,"*FR3.2*")+COUNTIF(SECURITY_SOS!$B$4:$B$18,"*FR3.2*")+COUNTIF(RESPONDER!$B$4:$B$21,"*FR3.2*")+COUNTIF(CAREGIVER!$B$4:$B$15,"*FR3.2*")+COUNTIF(MEDICAL!$B$4:$B$14,"*FR3.2*")+COUNTIF(CHAT!$B$4:$B$17,"*FR3.2*")+COUNTIF(PRIVACY_CALLS!$B$4:$B$40,"*FR3.2*")+COUNTIF(PROFILE!$B$4:$B$9,"*FR3.2*")+COUNTIF(ACCESSIBILITY!$B$4:$B$22,"*FR3.2*")+COUNTIF(NOTIFICATIONS!$B$4:$B$19,"*FR3.2*")+COUNTIF(NAVIGATION_UI!$B$4:$B$8,"*FR3.2*")+COUNTIF(ADMIN_PORTAL!$B$4:$B$19,"*FR3.2*")+COUNTIF(BACKEND_API!$B$4:$B$23,"*FR3.2*")</f>
        <v/>
      </c>
      <c r="E16" s="32">
        <f>IF(D16&gt;=2,"Covered",IF(D16=1,"Minimal","GAP"))</f>
        <v/>
      </c>
      <c r="F16" s="31" t="inlineStr">
        <is>
          <t>ACC-08, ACC-09, ACC-14</t>
        </is>
      </c>
    </row>
    <row r="17" ht="30" customHeight="1">
      <c r="A17" s="27" t="inlineStr">
        <is>
          <t>FR3.3</t>
        </is>
      </c>
      <c r="B17" s="28" t="inlineStr">
        <is>
          <t>Accessibility</t>
        </is>
      </c>
      <c r="C17" s="28" t="inlineStr">
        <is>
          <t>Haptic feedback for SOS countdowns and incoming messages</t>
        </is>
      </c>
      <c r="D17" s="29">
        <f>COUNTIF(AUTH!$B$4:$B$23,"*FR3.3*")+COUNTIF(PATIENT_SOS!$B$4:$B$21,"*FR3.3*")+COUNTIF(SECURITY_SOS!$B$4:$B$18,"*FR3.3*")+COUNTIF(RESPONDER!$B$4:$B$21,"*FR3.3*")+COUNTIF(CAREGIVER!$B$4:$B$15,"*FR3.3*")+COUNTIF(MEDICAL!$B$4:$B$14,"*FR3.3*")+COUNTIF(CHAT!$B$4:$B$17,"*FR3.3*")+COUNTIF(PRIVACY_CALLS!$B$4:$B$40,"*FR3.3*")+COUNTIF(PROFILE!$B$4:$B$9,"*FR3.3*")+COUNTIF(ACCESSIBILITY!$B$4:$B$22,"*FR3.3*")+COUNTIF(NOTIFICATIONS!$B$4:$B$19,"*FR3.3*")+COUNTIF(NAVIGATION_UI!$B$4:$B$8,"*FR3.3*")+COUNTIF(ADMIN_PORTAL!$B$4:$B$19,"*FR3.3*")+COUNTIF(BACKEND_API!$B$4:$B$23,"*FR3.3*")</f>
        <v/>
      </c>
      <c r="E17" s="29">
        <f>IF(D17&gt;=2,"Covered",IF(D17=1,"Minimal","GAP"))</f>
        <v/>
      </c>
      <c r="F17" s="28" t="inlineStr">
        <is>
          <t>SOS-02, CG-06, CHT-10</t>
        </is>
      </c>
    </row>
    <row r="18" ht="30" customHeight="1">
      <c r="A18" s="30" t="inlineStr">
        <is>
          <t>FR3.4</t>
        </is>
      </c>
      <c r="B18" s="31" t="inlineStr">
        <is>
          <t>Accessibility</t>
        </is>
      </c>
      <c r="C18" s="31" t="inlineStr">
        <is>
          <t>Speech-impaired users operate without voice input — silent SOS + text communication</t>
        </is>
      </c>
      <c r="D18" s="32">
        <f>COUNTIF(AUTH!$B$4:$B$23,"*FR3.4*")+COUNTIF(PATIENT_SOS!$B$4:$B$21,"*FR3.4*")+COUNTIF(SECURITY_SOS!$B$4:$B$18,"*FR3.4*")+COUNTIF(RESPONDER!$B$4:$B$21,"*FR3.4*")+COUNTIF(CAREGIVER!$B$4:$B$15,"*FR3.4*")+COUNTIF(MEDICAL!$B$4:$B$14,"*FR3.4*")+COUNTIF(CHAT!$B$4:$B$17,"*FR3.4*")+COUNTIF(PRIVACY_CALLS!$B$4:$B$40,"*FR3.4*")+COUNTIF(PROFILE!$B$4:$B$9,"*FR3.4*")+COUNTIF(ACCESSIBILITY!$B$4:$B$22,"*FR3.4*")+COUNTIF(NOTIFICATIONS!$B$4:$B$19,"*FR3.4*")+COUNTIF(NAVIGATION_UI!$B$4:$B$8,"*FR3.4*")+COUNTIF(ADMIN_PORTAL!$B$4:$B$19,"*FR3.4*")+COUNTIF(BACKEND_API!$B$4:$B$23,"*FR3.4*")</f>
        <v/>
      </c>
      <c r="E18" s="32">
        <f>IF(D18&gt;=2,"Covered",IF(D18=1,"Minimal","GAP"))</f>
        <v/>
      </c>
      <c r="F18" s="31" t="inlineStr">
        <is>
          <t>SOS-02, CHT-03, CHT-04, CHT-05, CHT-07, ACC-03, ACC-13</t>
        </is>
      </c>
    </row>
    <row r="19" ht="30" customHeight="1">
      <c r="A19" s="27" t="inlineStr">
        <is>
          <t>FR3.5</t>
        </is>
      </c>
      <c r="B19" s="28" t="inlineStr">
        <is>
          <t>Accessibility</t>
        </is>
      </c>
      <c r="C19" s="28" t="inlineStr">
        <is>
          <t>Large-scale buttons for motor impairment assistance</t>
        </is>
      </c>
      <c r="D19" s="29">
        <f>COUNTIF(AUTH!$B$4:$B$23,"*FR3.5*")+COUNTIF(PATIENT_SOS!$B$4:$B$21,"*FR3.5*")+COUNTIF(SECURITY_SOS!$B$4:$B$18,"*FR3.5*")+COUNTIF(RESPONDER!$B$4:$B$21,"*FR3.5*")+COUNTIF(CAREGIVER!$B$4:$B$15,"*FR3.5*")+COUNTIF(MEDICAL!$B$4:$B$14,"*FR3.5*")+COUNTIF(CHAT!$B$4:$B$17,"*FR3.5*")+COUNTIF(PRIVACY_CALLS!$B$4:$B$40,"*FR3.5*")+COUNTIF(PROFILE!$B$4:$B$9,"*FR3.5*")+COUNTIF(ACCESSIBILITY!$B$4:$B$22,"*FR3.5*")+COUNTIF(NOTIFICATIONS!$B$4:$B$19,"*FR3.5*")+COUNTIF(NAVIGATION_UI!$B$4:$B$8,"*FR3.5*")+COUNTIF(ADMIN_PORTAL!$B$4:$B$19,"*FR3.5*")+COUNTIF(BACKEND_API!$B$4:$B$23,"*FR3.5*")</f>
        <v/>
      </c>
      <c r="E19" s="29">
        <f>IF(D19&gt;=2,"Covered",IF(D19=1,"Minimal","GAP"))</f>
        <v/>
      </c>
      <c r="F19" s="28" t="inlineStr">
        <is>
          <t>ACC-10, NAV-05</t>
        </is>
      </c>
    </row>
    <row r="20" ht="30" customHeight="1">
      <c r="A20" s="30" t="inlineStr">
        <is>
          <t>FR4.1</t>
        </is>
      </c>
      <c r="B20" s="31" t="inlineStr">
        <is>
          <t>SOS Emergency</t>
        </is>
      </c>
      <c r="C20" s="31" t="inlineStr">
        <is>
          <t>One-tap / long-press SOS button on home screen</t>
        </is>
      </c>
      <c r="D20" s="32">
        <f>COUNTIF(AUTH!$B$4:$B$23,"*FR4.1*")+COUNTIF(PATIENT_SOS!$B$4:$B$21,"*FR4.1*")+COUNTIF(SECURITY_SOS!$B$4:$B$18,"*FR4.1*")+COUNTIF(RESPONDER!$B$4:$B$21,"*FR4.1*")+COUNTIF(CAREGIVER!$B$4:$B$15,"*FR4.1*")+COUNTIF(MEDICAL!$B$4:$B$14,"*FR4.1*")+COUNTIF(CHAT!$B$4:$B$17,"*FR4.1*")+COUNTIF(PRIVACY_CALLS!$B$4:$B$40,"*FR4.1*")+COUNTIF(PROFILE!$B$4:$B$9,"*FR4.1*")+COUNTIF(ACCESSIBILITY!$B$4:$B$22,"*FR4.1*")+COUNTIF(NOTIFICATIONS!$B$4:$B$19,"*FR4.1*")+COUNTIF(NAVIGATION_UI!$B$4:$B$8,"*FR4.1*")+COUNTIF(ADMIN_PORTAL!$B$4:$B$19,"*FR4.1*")+COUNTIF(BACKEND_API!$B$4:$B$23,"*FR4.1*")</f>
        <v/>
      </c>
      <c r="E20" s="32">
        <f>IF(D20&gt;=2,"Covered",IF(D20=1,"Minimal","GAP"))</f>
        <v/>
      </c>
      <c r="F20" s="31" t="inlineStr">
        <is>
          <t>SOS-01, SOS-12, SEC-01</t>
        </is>
      </c>
    </row>
    <row r="21" ht="30" customHeight="1">
      <c r="A21" s="27" t="inlineStr">
        <is>
          <t>FR4.2</t>
        </is>
      </c>
      <c r="B21" s="28" t="inlineStr">
        <is>
          <t>SOS Emergency</t>
        </is>
      </c>
      <c r="C21" s="28" t="inlineStr">
        <is>
          <t>Auto-capture and transmit high-accuracy GPS coordinates on SOS activation</t>
        </is>
      </c>
      <c r="D21" s="29">
        <f>COUNTIF(AUTH!$B$4:$B$23,"*FR4.2*")+COUNTIF(PATIENT_SOS!$B$4:$B$21,"*FR4.2*")+COUNTIF(SECURITY_SOS!$B$4:$B$18,"*FR4.2*")+COUNTIF(RESPONDER!$B$4:$B$21,"*FR4.2*")+COUNTIF(CAREGIVER!$B$4:$B$15,"*FR4.2*")+COUNTIF(MEDICAL!$B$4:$B$14,"*FR4.2*")+COUNTIF(CHAT!$B$4:$B$17,"*FR4.2*")+COUNTIF(PRIVACY_CALLS!$B$4:$B$40,"*FR4.2*")+COUNTIF(PROFILE!$B$4:$B$9,"*FR4.2*")+COUNTIF(ACCESSIBILITY!$B$4:$B$22,"*FR4.2*")+COUNTIF(NOTIFICATIONS!$B$4:$B$19,"*FR4.2*")+COUNTIF(NAVIGATION_UI!$B$4:$B$8,"*FR4.2*")+COUNTIF(ADMIN_PORTAL!$B$4:$B$19,"*FR4.2*")+COUNTIF(BACKEND_API!$B$4:$B$23,"*FR4.2*")</f>
        <v/>
      </c>
      <c r="E21" s="29">
        <f>IF(D21&gt;=2,"Covered",IF(D21=1,"Minimal","GAP"))</f>
        <v/>
      </c>
      <c r="F21" s="28" t="inlineStr">
        <is>
          <t>SOS-04, SEC-03, SEC-05</t>
        </is>
      </c>
    </row>
    <row r="22" ht="30" customHeight="1">
      <c r="A22" s="30" t="inlineStr">
        <is>
          <t>FR4.3</t>
        </is>
      </c>
      <c r="B22" s="31" t="inlineStr">
        <is>
          <t>SOS Emergency</t>
        </is>
      </c>
      <c r="C22" s="31" t="inlineStr">
        <is>
          <t>Cancellation window with countdown timer (SRS: 10 s; implemented as 60 s by project decision)</t>
        </is>
      </c>
      <c r="D22" s="32">
        <f>COUNTIF(AUTH!$B$4:$B$23,"*FR4.3*")+COUNTIF(PATIENT_SOS!$B$4:$B$21,"*FR4.3*")+COUNTIF(SECURITY_SOS!$B$4:$B$18,"*FR4.3*")+COUNTIF(RESPONDER!$B$4:$B$21,"*FR4.3*")+COUNTIF(CAREGIVER!$B$4:$B$15,"*FR4.3*")+COUNTIF(MEDICAL!$B$4:$B$14,"*FR4.3*")+COUNTIF(CHAT!$B$4:$B$17,"*FR4.3*")+COUNTIF(PRIVACY_CALLS!$B$4:$B$40,"*FR4.3*")+COUNTIF(PROFILE!$B$4:$B$9,"*FR4.3*")+COUNTIF(ACCESSIBILITY!$B$4:$B$22,"*FR4.3*")+COUNTIF(NOTIFICATIONS!$B$4:$B$19,"*FR4.3*")+COUNTIF(NAVIGATION_UI!$B$4:$B$8,"*FR4.3*")+COUNTIF(ADMIN_PORTAL!$B$4:$B$19,"*FR4.3*")+COUNTIF(BACKEND_API!$B$4:$B$23,"*FR4.3*")</f>
        <v/>
      </c>
      <c r="E22" s="32">
        <f>IF(D22&gt;=2,"Covered",IF(D22=1,"Minimal","GAP"))</f>
        <v/>
      </c>
      <c r="F22" s="31" t="inlineStr">
        <is>
          <t>SOS-01, SOS-03, SOS-14, SEC-02</t>
        </is>
      </c>
    </row>
    <row r="23" ht="30" customHeight="1">
      <c r="A23" s="27" t="inlineStr">
        <is>
          <t>FR4.4</t>
        </is>
      </c>
      <c r="B23" s="28" t="inlineStr">
        <is>
          <t>SOS Emergency</t>
        </is>
      </c>
      <c r="C23" s="28" t="inlineStr">
        <is>
          <t>Emergency categorization: Cardiac, Respiratory, Fall, Trauma, etc.</t>
        </is>
      </c>
      <c r="D23" s="29">
        <f>COUNTIF(AUTH!$B$4:$B$23,"*FR4.4*")+COUNTIF(PATIENT_SOS!$B$4:$B$21,"*FR4.4*")+COUNTIF(SECURITY_SOS!$B$4:$B$18,"*FR4.4*")+COUNTIF(RESPONDER!$B$4:$B$21,"*FR4.4*")+COUNTIF(CAREGIVER!$B$4:$B$15,"*FR4.4*")+COUNTIF(MEDICAL!$B$4:$B$14,"*FR4.4*")+COUNTIF(CHAT!$B$4:$B$17,"*FR4.4*")+COUNTIF(PRIVACY_CALLS!$B$4:$B$40,"*FR4.4*")+COUNTIF(PROFILE!$B$4:$B$9,"*FR4.4*")+COUNTIF(ACCESSIBILITY!$B$4:$B$22,"*FR4.4*")+COUNTIF(NOTIFICATIONS!$B$4:$B$19,"*FR4.4*")+COUNTIF(NAVIGATION_UI!$B$4:$B$8,"*FR4.4*")+COUNTIF(ADMIN_PORTAL!$B$4:$B$19,"*FR4.4*")+COUNTIF(BACKEND_API!$B$4:$B$23,"*FR4.4*")</f>
        <v/>
      </c>
      <c r="E23" s="29">
        <f>IF(D23&gt;=2,"Covered",IF(D23=1,"Minimal","GAP"))</f>
        <v/>
      </c>
      <c r="F23" s="28" t="inlineStr">
        <is>
          <t>SOS-10</t>
        </is>
      </c>
    </row>
    <row r="24" ht="30" customHeight="1">
      <c r="A24" s="30" t="inlineStr">
        <is>
          <t>FR4.5</t>
        </is>
      </c>
      <c r="B24" s="31" t="inlineStr">
        <is>
          <t>SOS Emergency</t>
        </is>
      </c>
      <c r="C24" s="31" t="inlineStr">
        <is>
          <t>Notify all nearby available responders immediately</t>
        </is>
      </c>
      <c r="D24" s="32">
        <f>COUNTIF(AUTH!$B$4:$B$23,"*FR4.5*")+COUNTIF(PATIENT_SOS!$B$4:$B$21,"*FR4.5*")+COUNTIF(SECURITY_SOS!$B$4:$B$18,"*FR4.5*")+COUNTIF(RESPONDER!$B$4:$B$21,"*FR4.5*")+COUNTIF(CAREGIVER!$B$4:$B$15,"*FR4.5*")+COUNTIF(MEDICAL!$B$4:$B$14,"*FR4.5*")+COUNTIF(CHAT!$B$4:$B$17,"*FR4.5*")+COUNTIF(PRIVACY_CALLS!$B$4:$B$40,"*FR4.5*")+COUNTIF(PROFILE!$B$4:$B$9,"*FR4.5*")+COUNTIF(ACCESSIBILITY!$B$4:$B$22,"*FR4.5*")+COUNTIF(NOTIFICATIONS!$B$4:$B$19,"*FR4.5*")+COUNTIF(NAVIGATION_UI!$B$4:$B$8,"*FR4.5*")+COUNTIF(ADMIN_PORTAL!$B$4:$B$19,"*FR4.5*")+COUNTIF(BACKEND_API!$B$4:$B$23,"*FR4.5*")</f>
        <v/>
      </c>
      <c r="E24" s="32">
        <f>IF(D24&gt;=2,"Covered",IF(D24=1,"Minimal","GAP"))</f>
        <v/>
      </c>
      <c r="F24" s="31" t="inlineStr">
        <is>
          <t>SOS-13, SEC-04, RSP-01, RSP-02, RSP-03, RSP-07, API-05</t>
        </is>
      </c>
    </row>
    <row r="25" ht="30" customHeight="1">
      <c r="A25" s="27" t="inlineStr">
        <is>
          <t>FR4.6</t>
        </is>
      </c>
      <c r="B25" s="28" t="inlineStr">
        <is>
          <t>SOS Emergency</t>
        </is>
      </c>
      <c r="C25" s="28" t="inlineStr">
        <is>
          <t>Notify all connected caregivers instantly</t>
        </is>
      </c>
      <c r="D25" s="29">
        <f>COUNTIF(AUTH!$B$4:$B$23,"*FR4.6*")+COUNTIF(PATIENT_SOS!$B$4:$B$21,"*FR4.6*")+COUNTIF(SECURITY_SOS!$B$4:$B$18,"*FR4.6*")+COUNTIF(RESPONDER!$B$4:$B$21,"*FR4.6*")+COUNTIF(CAREGIVER!$B$4:$B$15,"*FR4.6*")+COUNTIF(MEDICAL!$B$4:$B$14,"*FR4.6*")+COUNTIF(CHAT!$B$4:$B$17,"*FR4.6*")+COUNTIF(PRIVACY_CALLS!$B$4:$B$40,"*FR4.6*")+COUNTIF(PROFILE!$B$4:$B$9,"*FR4.6*")+COUNTIF(ACCESSIBILITY!$B$4:$B$22,"*FR4.6*")+COUNTIF(NOTIFICATIONS!$B$4:$B$19,"*FR4.6*")+COUNTIF(NAVIGATION_UI!$B$4:$B$8,"*FR4.6*")+COUNTIF(ADMIN_PORTAL!$B$4:$B$19,"*FR4.6*")+COUNTIF(BACKEND_API!$B$4:$B$23,"*FR4.6*")</f>
        <v/>
      </c>
      <c r="E25" s="29">
        <f>IF(D25&gt;=2,"Covered",IF(D25=1,"Minimal","GAP"))</f>
        <v/>
      </c>
      <c r="F25" s="28" t="inlineStr">
        <is>
          <t>SOS-09, CG-05, CG-09</t>
        </is>
      </c>
    </row>
    <row r="26" ht="30" customHeight="1">
      <c r="A26" s="30" t="inlineStr">
        <is>
          <t>FR5.1</t>
        </is>
      </c>
      <c r="B26" s="31" t="inlineStr">
        <is>
          <t>Responder &amp; Voice</t>
        </is>
      </c>
      <c r="C26" s="31" t="inlineStr">
        <is>
          <t>First responder to accept is atomically assigned — request closed for others</t>
        </is>
      </c>
      <c r="D26" s="32">
        <f>COUNTIF(AUTH!$B$4:$B$23,"*FR5.1*")+COUNTIF(PATIENT_SOS!$B$4:$B$21,"*FR5.1*")+COUNTIF(SECURITY_SOS!$B$4:$B$18,"*FR5.1*")+COUNTIF(RESPONDER!$B$4:$B$21,"*FR5.1*")+COUNTIF(CAREGIVER!$B$4:$B$15,"*FR5.1*")+COUNTIF(MEDICAL!$B$4:$B$14,"*FR5.1*")+COUNTIF(CHAT!$B$4:$B$17,"*FR5.1*")+COUNTIF(PRIVACY_CALLS!$B$4:$B$40,"*FR5.1*")+COUNTIF(PROFILE!$B$4:$B$9,"*FR5.1*")+COUNTIF(ACCESSIBILITY!$B$4:$B$22,"*FR5.1*")+COUNTIF(NOTIFICATIONS!$B$4:$B$19,"*FR5.1*")+COUNTIF(NAVIGATION_UI!$B$4:$B$8,"*FR5.1*")+COUNTIF(ADMIN_PORTAL!$B$4:$B$19,"*FR5.1*")+COUNTIF(BACKEND_API!$B$4:$B$23,"*FR5.1*")</f>
        <v/>
      </c>
      <c r="E26" s="32">
        <f>IF(D26&gt;=2,"Covered",IF(D26=1,"Minimal","GAP"))</f>
        <v/>
      </c>
      <c r="F26" s="31" t="inlineStr">
        <is>
          <t>SEC-13, RSP-04, RSP-11, PRV-07, API-06</t>
        </is>
      </c>
    </row>
    <row r="27" ht="30" customHeight="1">
      <c r="A27" s="27" t="inlineStr">
        <is>
          <t>FR5.2</t>
        </is>
      </c>
      <c r="B27" s="28" t="inlineStr">
        <is>
          <t>Responder &amp; Voice</t>
        </is>
      </c>
      <c r="C27" s="28" t="inlineStr">
        <is>
          <t>Hands-free Voice Alert via TTS reads patient details to responder</t>
        </is>
      </c>
      <c r="D27" s="29">
        <f>COUNTIF(AUTH!$B$4:$B$23,"*FR5.2*")+COUNTIF(PATIENT_SOS!$B$4:$B$21,"*FR5.2*")+COUNTIF(SECURITY_SOS!$B$4:$B$18,"*FR5.2*")+COUNTIF(RESPONDER!$B$4:$B$21,"*FR5.2*")+COUNTIF(CAREGIVER!$B$4:$B$15,"*FR5.2*")+COUNTIF(MEDICAL!$B$4:$B$14,"*FR5.2*")+COUNTIF(CHAT!$B$4:$B$17,"*FR5.2*")+COUNTIF(PRIVACY_CALLS!$B$4:$B$40,"*FR5.2*")+COUNTIF(PROFILE!$B$4:$B$9,"*FR5.2*")+COUNTIF(ACCESSIBILITY!$B$4:$B$22,"*FR5.2*")+COUNTIF(NOTIFICATIONS!$B$4:$B$19,"*FR5.2*")+COUNTIF(NAVIGATION_UI!$B$4:$B$8,"*FR5.2*")+COUNTIF(ADMIN_PORTAL!$B$4:$B$19,"*FR5.2*")+COUNTIF(BACKEND_API!$B$4:$B$23,"*FR5.2*")</f>
        <v/>
      </c>
      <c r="E27" s="29">
        <f>IF(D27&gt;=2,"Covered",IF(D27=1,"Minimal","GAP"))</f>
        <v/>
      </c>
      <c r="F27" s="28" t="inlineStr">
        <is>
          <t>RSP-05, RSP-06, ACC-05</t>
        </is>
      </c>
    </row>
    <row r="28" ht="30" customHeight="1">
      <c r="A28" s="30" t="inlineStr">
        <is>
          <t>FR5.3</t>
        </is>
      </c>
      <c r="B28" s="31" t="inlineStr">
        <is>
          <t>Responder &amp; Voice</t>
        </is>
      </c>
      <c r="C28" s="31" t="inlineStr">
        <is>
          <t>Voice alert includes emergency type, location, medical info, and DEAF status flag</t>
        </is>
      </c>
      <c r="D28" s="32">
        <f>COUNTIF(AUTH!$B$4:$B$23,"*FR5.3*")+COUNTIF(PATIENT_SOS!$B$4:$B$21,"*FR5.3*")+COUNTIF(SECURITY_SOS!$B$4:$B$18,"*FR5.3*")+COUNTIF(RESPONDER!$B$4:$B$21,"*FR5.3*")+COUNTIF(CAREGIVER!$B$4:$B$15,"*FR5.3*")+COUNTIF(MEDICAL!$B$4:$B$14,"*FR5.3*")+COUNTIF(CHAT!$B$4:$B$17,"*FR5.3*")+COUNTIF(PRIVACY_CALLS!$B$4:$B$40,"*FR5.3*")+COUNTIF(PROFILE!$B$4:$B$9,"*FR5.3*")+COUNTIF(ACCESSIBILITY!$B$4:$B$22,"*FR5.3*")+COUNTIF(NOTIFICATIONS!$B$4:$B$19,"*FR5.3*")+COUNTIF(NAVIGATION_UI!$B$4:$B$8,"*FR5.3*")+COUNTIF(ADMIN_PORTAL!$B$4:$B$19,"*FR5.3*")+COUNTIF(BACKEND_API!$B$4:$B$23,"*FR5.3*")</f>
        <v/>
      </c>
      <c r="E28" s="32">
        <f>IF(D28&gt;=2,"Covered",IF(D28=1,"Minimal","GAP"))</f>
        <v/>
      </c>
      <c r="F28" s="31" t="inlineStr">
        <is>
          <t>RSP-05, PRV-03, PRV-04</t>
        </is>
      </c>
    </row>
    <row r="29" ht="30" customHeight="1">
      <c r="A29" s="27" t="inlineStr">
        <is>
          <t>FR5.4</t>
        </is>
      </c>
      <c r="B29" s="28" t="inlineStr">
        <is>
          <t>Responder &amp; Voice</t>
        </is>
      </c>
      <c r="C29" s="28" t="inlineStr">
        <is>
          <t>Responders toggle availability (Online/Offline)</t>
        </is>
      </c>
      <c r="D29" s="29">
        <f>COUNTIF(AUTH!$B$4:$B$23,"*FR5.4*")+COUNTIF(PATIENT_SOS!$B$4:$B$21,"*FR5.4*")+COUNTIF(SECURITY_SOS!$B$4:$B$18,"*FR5.4*")+COUNTIF(RESPONDER!$B$4:$B$21,"*FR5.4*")+COUNTIF(CAREGIVER!$B$4:$B$15,"*FR5.4*")+COUNTIF(MEDICAL!$B$4:$B$14,"*FR5.4*")+COUNTIF(CHAT!$B$4:$B$17,"*FR5.4*")+COUNTIF(PRIVACY_CALLS!$B$4:$B$40,"*FR5.4*")+COUNTIF(PROFILE!$B$4:$B$9,"*FR5.4*")+COUNTIF(ACCESSIBILITY!$B$4:$B$22,"*FR5.4*")+COUNTIF(NOTIFICATIONS!$B$4:$B$19,"*FR5.4*")+COUNTIF(NAVIGATION_UI!$B$4:$B$8,"*FR5.4*")+COUNTIF(ADMIN_PORTAL!$B$4:$B$19,"*FR5.4*")+COUNTIF(BACKEND_API!$B$4:$B$23,"*FR5.4*")</f>
        <v/>
      </c>
      <c r="E29" s="29">
        <f>IF(D29&gt;=2,"Covered",IF(D29=1,"Minimal","GAP"))</f>
        <v/>
      </c>
      <c r="F29" s="28" t="inlineStr">
        <is>
          <t>RSP-12</t>
        </is>
      </c>
    </row>
    <row r="30" ht="30" customHeight="1">
      <c r="A30" s="30" t="inlineStr">
        <is>
          <t>FR6.1</t>
        </is>
      </c>
      <c r="B30" s="31" t="inlineStr">
        <is>
          <t>Live Tracking</t>
        </is>
      </c>
      <c r="C30" s="31" t="inlineStr">
        <is>
          <t>Real-time responder location tracking via WebSockets</t>
        </is>
      </c>
      <c r="D30" s="32">
        <f>COUNTIF(AUTH!$B$4:$B$23,"*FR6.1*")+COUNTIF(PATIENT_SOS!$B$4:$B$21,"*FR6.1*")+COUNTIF(SECURITY_SOS!$B$4:$B$18,"*FR6.1*")+COUNTIF(RESPONDER!$B$4:$B$21,"*FR6.1*")+COUNTIF(CAREGIVER!$B$4:$B$15,"*FR6.1*")+COUNTIF(MEDICAL!$B$4:$B$14,"*FR6.1*")+COUNTIF(CHAT!$B$4:$B$17,"*FR6.1*")+COUNTIF(PRIVACY_CALLS!$B$4:$B$40,"*FR6.1*")+COUNTIF(PROFILE!$B$4:$B$9,"*FR6.1*")+COUNTIF(ACCESSIBILITY!$B$4:$B$22,"*FR6.1*")+COUNTIF(NOTIFICATIONS!$B$4:$B$19,"*FR6.1*")+COUNTIF(NAVIGATION_UI!$B$4:$B$8,"*FR6.1*")+COUNTIF(ADMIN_PORTAL!$B$4:$B$19,"*FR6.1*")+COUNTIF(BACKEND_API!$B$4:$B$23,"*FR6.1*")</f>
        <v/>
      </c>
      <c r="E30" s="32">
        <f>IF(D30&gt;=2,"Covered",IF(D30=1,"Minimal","GAP"))</f>
        <v/>
      </c>
      <c r="F30" s="31" t="inlineStr">
        <is>
          <t>SOS-05, RSP-08, RSP-14, ADM-11, API-16</t>
        </is>
      </c>
    </row>
    <row r="31" ht="30" customHeight="1">
      <c r="A31" s="27" t="inlineStr">
        <is>
          <t>FR6.2</t>
        </is>
      </c>
      <c r="B31" s="28" t="inlineStr">
        <is>
          <t>Live Tracking</t>
        </is>
      </c>
      <c r="C31" s="28" t="inlineStr">
        <is>
          <t>Responder route + ETA displayed to Patient and Caregiver</t>
        </is>
      </c>
      <c r="D31" s="29">
        <f>COUNTIF(AUTH!$B$4:$B$23,"*FR6.2*")+COUNTIF(PATIENT_SOS!$B$4:$B$21,"*FR6.2*")+COUNTIF(SECURITY_SOS!$B$4:$B$18,"*FR6.2*")+COUNTIF(RESPONDER!$B$4:$B$21,"*FR6.2*")+COUNTIF(CAREGIVER!$B$4:$B$15,"*FR6.2*")+COUNTIF(MEDICAL!$B$4:$B$14,"*FR6.2*")+COUNTIF(CHAT!$B$4:$B$17,"*FR6.2*")+COUNTIF(PRIVACY_CALLS!$B$4:$B$40,"*FR6.2*")+COUNTIF(PROFILE!$B$4:$B$9,"*FR6.2*")+COUNTIF(ACCESSIBILITY!$B$4:$B$22,"*FR6.2*")+COUNTIF(NOTIFICATIONS!$B$4:$B$19,"*FR6.2*")+COUNTIF(NAVIGATION_UI!$B$4:$B$8,"*FR6.2*")+COUNTIF(ADMIN_PORTAL!$B$4:$B$19,"*FR6.2*")+COUNTIF(BACKEND_API!$B$4:$B$23,"*FR6.2*")</f>
        <v/>
      </c>
      <c r="E31" s="29">
        <f>IF(D31&gt;=2,"Covered",IF(D31=1,"Minimal","GAP"))</f>
        <v/>
      </c>
      <c r="F31" s="28" t="inlineStr">
        <is>
          <t>SOS-06, SOS-11, SEC-06, RSP-08, RSP-09, RSP-10, CG-08, PERF-03, API-07</t>
        </is>
      </c>
    </row>
    <row r="32" ht="30" customHeight="1">
      <c r="A32" s="30" t="inlineStr">
        <is>
          <t>FR6.3</t>
        </is>
      </c>
      <c r="B32" s="31" t="inlineStr">
        <is>
          <t>Live Tracking</t>
        </is>
      </c>
      <c r="C32" s="31" t="inlineStr">
        <is>
          <t>Caregiver interactive map to monitor patient safety and location</t>
        </is>
      </c>
      <c r="D32" s="32">
        <f>COUNTIF(AUTH!$B$4:$B$23,"*FR6.3*")+COUNTIF(PATIENT_SOS!$B$4:$B$21,"*FR6.3*")+COUNTIF(SECURITY_SOS!$B$4:$B$18,"*FR6.3*")+COUNTIF(RESPONDER!$B$4:$B$21,"*FR6.3*")+COUNTIF(CAREGIVER!$B$4:$B$15,"*FR6.3*")+COUNTIF(MEDICAL!$B$4:$B$14,"*FR6.3*")+COUNTIF(CHAT!$B$4:$B$17,"*FR6.3*")+COUNTIF(PRIVACY_CALLS!$B$4:$B$40,"*FR6.3*")+COUNTIF(PROFILE!$B$4:$B$9,"*FR6.3*")+COUNTIF(ACCESSIBILITY!$B$4:$B$22,"*FR6.3*")+COUNTIF(NOTIFICATIONS!$B$4:$B$19,"*FR6.3*")+COUNTIF(NAVIGATION_UI!$B$4:$B$8,"*FR6.3*")+COUNTIF(ADMIN_PORTAL!$B$4:$B$19,"*FR6.3*")+COUNTIF(BACKEND_API!$B$4:$B$23,"*FR6.3*")</f>
        <v/>
      </c>
      <c r="E32" s="32">
        <f>IF(D32&gt;=2,"Covered",IF(D32=1,"Minimal","GAP"))</f>
        <v/>
      </c>
      <c r="F32" s="31" t="inlineStr">
        <is>
          <t>CG-01, CG-08, API-13</t>
        </is>
      </c>
    </row>
    <row r="33" ht="30" customHeight="1">
      <c r="A33" s="27" t="inlineStr">
        <is>
          <t>FR6.4</t>
        </is>
      </c>
      <c r="B33" s="28" t="inlineStr">
        <is>
          <t>Live Tracking</t>
        </is>
      </c>
      <c r="C33" s="28" t="inlineStr">
        <is>
          <t>Navigation hooks for responders to reach patient exact location</t>
        </is>
      </c>
      <c r="D33" s="29">
        <f>COUNTIF(AUTH!$B$4:$B$23,"*FR6.4*")+COUNTIF(PATIENT_SOS!$B$4:$B$21,"*FR6.4*")+COUNTIF(SECURITY_SOS!$B$4:$B$18,"*FR6.4*")+COUNTIF(RESPONDER!$B$4:$B$21,"*FR6.4*")+COUNTIF(CAREGIVER!$B$4:$B$15,"*FR6.4*")+COUNTIF(MEDICAL!$B$4:$B$14,"*FR6.4*")+COUNTIF(CHAT!$B$4:$B$17,"*FR6.4*")+COUNTIF(PRIVACY_CALLS!$B$4:$B$40,"*FR6.4*")+COUNTIF(PROFILE!$B$4:$B$9,"*FR6.4*")+COUNTIF(ACCESSIBILITY!$B$4:$B$22,"*FR6.4*")+COUNTIF(NOTIFICATIONS!$B$4:$B$19,"*FR6.4*")+COUNTIF(NAVIGATION_UI!$B$4:$B$8,"*FR6.4*")+COUNTIF(ADMIN_PORTAL!$B$4:$B$19,"*FR6.4*")+COUNTIF(BACKEND_API!$B$4:$B$23,"*FR6.4*")</f>
        <v/>
      </c>
      <c r="E33" s="29">
        <f>IF(D33&gt;=2,"Covered",IF(D33=1,"Minimal","GAP"))</f>
        <v/>
      </c>
      <c r="F33" s="28" t="inlineStr">
        <is>
          <t>RSP-13</t>
        </is>
      </c>
    </row>
    <row r="34" ht="30" customHeight="1">
      <c r="A34" s="30" t="inlineStr">
        <is>
          <t>FR7.1</t>
        </is>
      </c>
      <c r="B34" s="31" t="inlineStr">
        <is>
          <t>Chat</t>
        </is>
      </c>
      <c r="C34" s="31" t="inlineStr">
        <is>
          <t>Secure real-time chat between Patients and Caregivers via Socket.io</t>
        </is>
      </c>
      <c r="D34" s="32">
        <f>COUNTIF(AUTH!$B$4:$B$23,"*FR7.1*")+COUNTIF(PATIENT_SOS!$B$4:$B$21,"*FR7.1*")+COUNTIF(SECURITY_SOS!$B$4:$B$18,"*FR7.1*")+COUNTIF(RESPONDER!$B$4:$B$21,"*FR7.1*")+COUNTIF(CAREGIVER!$B$4:$B$15,"*FR7.1*")+COUNTIF(MEDICAL!$B$4:$B$14,"*FR7.1*")+COUNTIF(CHAT!$B$4:$B$17,"*FR7.1*")+COUNTIF(PRIVACY_CALLS!$B$4:$B$40,"*FR7.1*")+COUNTIF(PROFILE!$B$4:$B$9,"*FR7.1*")+COUNTIF(ACCESSIBILITY!$B$4:$B$22,"*FR7.1*")+COUNTIF(NOTIFICATIONS!$B$4:$B$19,"*FR7.1*")+COUNTIF(NAVIGATION_UI!$B$4:$B$8,"*FR7.1*")+COUNTIF(ADMIN_PORTAL!$B$4:$B$19,"*FR7.1*")+COUNTIF(BACKEND_API!$B$4:$B$23,"*FR7.1*")</f>
        <v/>
      </c>
      <c r="E34" s="32">
        <f>IF(D34&gt;=2,"Covered",IF(D34=1,"Minimal","GAP"))</f>
        <v/>
      </c>
      <c r="F34" s="31" t="inlineStr">
        <is>
          <t>CHT-01, CHT-02</t>
        </is>
      </c>
    </row>
    <row r="35" ht="30" customHeight="1">
      <c r="A35" s="27" t="inlineStr">
        <is>
          <t>FR7.2</t>
        </is>
      </c>
      <c r="B35" s="28" t="inlineStr">
        <is>
          <t>Chat</t>
        </is>
      </c>
      <c r="C35" s="28" t="inlineStr">
        <is>
          <t>Many-to-many: one patient to many caregivers; one caregiver to many patients</t>
        </is>
      </c>
      <c r="D35" s="29">
        <f>COUNTIF(AUTH!$B$4:$B$23,"*FR7.2*")+COUNTIF(PATIENT_SOS!$B$4:$B$21,"*FR7.2*")+COUNTIF(SECURITY_SOS!$B$4:$B$18,"*FR7.2*")+COUNTIF(RESPONDER!$B$4:$B$21,"*FR7.2*")+COUNTIF(CAREGIVER!$B$4:$B$15,"*FR7.2*")+COUNTIF(MEDICAL!$B$4:$B$14,"*FR7.2*")+COUNTIF(CHAT!$B$4:$B$17,"*FR7.2*")+COUNTIF(PRIVACY_CALLS!$B$4:$B$40,"*FR7.2*")+COUNTIF(PROFILE!$B$4:$B$9,"*FR7.2*")+COUNTIF(ACCESSIBILITY!$B$4:$B$22,"*FR7.2*")+COUNTIF(NOTIFICATIONS!$B$4:$B$19,"*FR7.2*")+COUNTIF(NAVIGATION_UI!$B$4:$B$8,"*FR7.2*")+COUNTIF(ADMIN_PORTAL!$B$4:$B$19,"*FR7.2*")+COUNTIF(BACKEND_API!$B$4:$B$23,"*FR7.2*")</f>
        <v/>
      </c>
      <c r="E35" s="29">
        <f>IF(D35&gt;=2,"Covered",IF(D35=1,"Minimal","GAP"))</f>
        <v/>
      </c>
      <c r="F35" s="28" t="inlineStr">
        <is>
          <t>CG-01, CG-07, CHT-08</t>
        </is>
      </c>
    </row>
    <row r="36" ht="30" customHeight="1">
      <c r="A36" s="30" t="inlineStr">
        <is>
          <t>FR7.3</t>
        </is>
      </c>
      <c r="B36" s="31" t="inlineStr">
        <is>
          <t>Chat</t>
        </is>
      </c>
      <c r="C36" s="31" t="inlineStr">
        <is>
          <t>Private chat silos — messages in one room never visible to others</t>
        </is>
      </c>
      <c r="D36" s="32">
        <f>COUNTIF(AUTH!$B$4:$B$23,"*FR7.3*")+COUNTIF(PATIENT_SOS!$B$4:$B$21,"*FR7.3*")+COUNTIF(SECURITY_SOS!$B$4:$B$18,"*FR7.3*")+COUNTIF(RESPONDER!$B$4:$B$21,"*FR7.3*")+COUNTIF(CAREGIVER!$B$4:$B$15,"*FR7.3*")+COUNTIF(MEDICAL!$B$4:$B$14,"*FR7.3*")+COUNTIF(CHAT!$B$4:$B$17,"*FR7.3*")+COUNTIF(PRIVACY_CALLS!$B$4:$B$40,"*FR7.3*")+COUNTIF(PROFILE!$B$4:$B$9,"*FR7.3*")+COUNTIF(ACCESSIBILITY!$B$4:$B$22,"*FR7.3*")+COUNTIF(NOTIFICATIONS!$B$4:$B$19,"*FR7.3*")+COUNTIF(NAVIGATION_UI!$B$4:$B$8,"*FR7.3*")+COUNTIF(ADMIN_PORTAL!$B$4:$B$19,"*FR7.3*")+COUNTIF(BACKEND_API!$B$4:$B$23,"*FR7.3*")</f>
        <v/>
      </c>
      <c r="E36" s="32">
        <f>IF(D36&gt;=2,"Covered",IF(D36=1,"Minimal","GAP"))</f>
        <v/>
      </c>
      <c r="F36" s="31" t="inlineStr">
        <is>
          <t>CHT-09, PRV-01, PRV-02, LCK-01</t>
        </is>
      </c>
    </row>
    <row r="37" ht="30" customHeight="1">
      <c r="A37" s="27" t="inlineStr">
        <is>
          <t>FR7.4</t>
        </is>
      </c>
      <c r="B37" s="28" t="inlineStr">
        <is>
          <t>Chat</t>
        </is>
      </c>
      <c r="C37" s="28" t="inlineStr">
        <is>
          <t>Instant message notifications with haptic alerts</t>
        </is>
      </c>
      <c r="D37" s="29">
        <f>COUNTIF(AUTH!$B$4:$B$23,"*FR7.4*")+COUNTIF(PATIENT_SOS!$B$4:$B$21,"*FR7.4*")+COUNTIF(SECURITY_SOS!$B$4:$B$18,"*FR7.4*")+COUNTIF(RESPONDER!$B$4:$B$21,"*FR7.4*")+COUNTIF(CAREGIVER!$B$4:$B$15,"*FR7.4*")+COUNTIF(MEDICAL!$B$4:$B$14,"*FR7.4*")+COUNTIF(CHAT!$B$4:$B$17,"*FR7.4*")+COUNTIF(PRIVACY_CALLS!$B$4:$B$40,"*FR7.4*")+COUNTIF(PROFILE!$B$4:$B$9,"*FR7.4*")+COUNTIF(ACCESSIBILITY!$B$4:$B$22,"*FR7.4*")+COUNTIF(NOTIFICATIONS!$B$4:$B$19,"*FR7.4*")+COUNTIF(NAVIGATION_UI!$B$4:$B$8,"*FR7.4*")+COUNTIF(ADMIN_PORTAL!$B$4:$B$19,"*FR7.4*")+COUNTIF(BACKEND_API!$B$4:$B$23,"*FR7.4*")</f>
        <v/>
      </c>
      <c r="E37" s="29">
        <f>IF(D37&gt;=2,"Covered",IF(D37=1,"Minimal","GAP"))</f>
        <v/>
      </c>
      <c r="F37" s="28" t="inlineStr">
        <is>
          <t>CHT-10, NTF-06</t>
        </is>
      </c>
    </row>
    <row r="38" ht="30" customHeight="1">
      <c r="A38" s="30" t="inlineStr">
        <is>
          <t>FR7.5</t>
        </is>
      </c>
      <c r="B38" s="31" t="inlineStr">
        <is>
          <t>Chat</t>
        </is>
      </c>
      <c r="C38" s="31" t="inlineStr">
        <is>
          <t>Persistent chat history for continuity of care</t>
        </is>
      </c>
      <c r="D38" s="32">
        <f>COUNTIF(AUTH!$B$4:$B$23,"*FR7.5*")+COUNTIF(PATIENT_SOS!$B$4:$B$21,"*FR7.5*")+COUNTIF(SECURITY_SOS!$B$4:$B$18,"*FR7.5*")+COUNTIF(RESPONDER!$B$4:$B$21,"*FR7.5*")+COUNTIF(CAREGIVER!$B$4:$B$15,"*FR7.5*")+COUNTIF(MEDICAL!$B$4:$B$14,"*FR7.5*")+COUNTIF(CHAT!$B$4:$B$17,"*FR7.5*")+COUNTIF(PRIVACY_CALLS!$B$4:$B$40,"*FR7.5*")+COUNTIF(PROFILE!$B$4:$B$9,"*FR7.5*")+COUNTIF(ACCESSIBILITY!$B$4:$B$22,"*FR7.5*")+COUNTIF(NOTIFICATIONS!$B$4:$B$19,"*FR7.5*")+COUNTIF(NAVIGATION_UI!$B$4:$B$8,"*FR7.5*")+COUNTIF(ADMIN_PORTAL!$B$4:$B$19,"*FR7.5*")+COUNTIF(BACKEND_API!$B$4:$B$23,"*FR7.5*")</f>
        <v/>
      </c>
      <c r="E38" s="32">
        <f>IF(D38&gt;=2,"Covered",IF(D38=1,"Minimal","GAP"))</f>
        <v/>
      </c>
      <c r="F38" s="31" t="inlineStr">
        <is>
          <t>CHT-11</t>
        </is>
      </c>
    </row>
    <row r="39" ht="30" customHeight="1">
      <c r="A39" s="27" t="inlineStr">
        <is>
          <t>FR8.1</t>
        </is>
      </c>
      <c r="B39" s="28" t="inlineStr">
        <is>
          <t>UI &amp; Navigation</t>
        </is>
      </c>
      <c r="C39" s="28" t="inlineStr">
        <is>
          <t>Unified Sidebar (AppDrawer) navigation</t>
        </is>
      </c>
      <c r="D39" s="29">
        <f>COUNTIF(AUTH!$B$4:$B$23,"*FR8.1*")+COUNTIF(PATIENT_SOS!$B$4:$B$21,"*FR8.1*")+COUNTIF(SECURITY_SOS!$B$4:$B$18,"*FR8.1*")+COUNTIF(RESPONDER!$B$4:$B$21,"*FR8.1*")+COUNTIF(CAREGIVER!$B$4:$B$15,"*FR8.1*")+COUNTIF(MEDICAL!$B$4:$B$14,"*FR8.1*")+COUNTIF(CHAT!$B$4:$B$17,"*FR8.1*")+COUNTIF(PRIVACY_CALLS!$B$4:$B$40,"*FR8.1*")+COUNTIF(PROFILE!$B$4:$B$9,"*FR8.1*")+COUNTIF(ACCESSIBILITY!$B$4:$B$22,"*FR8.1*")+COUNTIF(NOTIFICATIONS!$B$4:$B$19,"*FR8.1*")+COUNTIF(NAVIGATION_UI!$B$4:$B$8,"*FR8.1*")+COUNTIF(ADMIN_PORTAL!$B$4:$B$19,"*FR8.1*")+COUNTIF(BACKEND_API!$B$4:$B$23,"*FR8.1*")</f>
        <v/>
      </c>
      <c r="E39" s="29">
        <f>IF(D39&gt;=2,"Covered",IF(D39=1,"Minimal","GAP"))</f>
        <v/>
      </c>
      <c r="F39" s="28" t="inlineStr">
        <is>
          <t>NAV-01</t>
        </is>
      </c>
    </row>
    <row r="40" ht="30" customHeight="1">
      <c r="A40" s="30" t="inlineStr">
        <is>
          <t>FR8.2</t>
        </is>
      </c>
      <c r="B40" s="31" t="inlineStr">
        <is>
          <t>UI &amp; Navigation</t>
        </is>
      </c>
      <c r="C40" s="31" t="inlineStr">
        <is>
          <t>StatefulShellRoute — preserves navigation history, no UI flickering</t>
        </is>
      </c>
      <c r="D40" s="32">
        <f>COUNTIF(AUTH!$B$4:$B$23,"*FR8.2*")+COUNTIF(PATIENT_SOS!$B$4:$B$21,"*FR8.2*")+COUNTIF(SECURITY_SOS!$B$4:$B$18,"*FR8.2*")+COUNTIF(RESPONDER!$B$4:$B$21,"*FR8.2*")+COUNTIF(CAREGIVER!$B$4:$B$15,"*FR8.2*")+COUNTIF(MEDICAL!$B$4:$B$14,"*FR8.2*")+COUNTIF(CHAT!$B$4:$B$17,"*FR8.2*")+COUNTIF(PRIVACY_CALLS!$B$4:$B$40,"*FR8.2*")+COUNTIF(PROFILE!$B$4:$B$9,"*FR8.2*")+COUNTIF(ACCESSIBILITY!$B$4:$B$22,"*FR8.2*")+COUNTIF(NOTIFICATIONS!$B$4:$B$19,"*FR8.2*")+COUNTIF(NAVIGATION_UI!$B$4:$B$8,"*FR8.2*")+COUNTIF(ADMIN_PORTAL!$B$4:$B$19,"*FR8.2*")+COUNTIF(BACKEND_API!$B$4:$B$23,"*FR8.2*")</f>
        <v/>
      </c>
      <c r="E40" s="32">
        <f>IF(D40&gt;=2,"Covered",IF(D40=1,"Minimal","GAP"))</f>
        <v/>
      </c>
      <c r="F40" s="31" t="inlineStr">
        <is>
          <t>CG-02, NAV-02</t>
        </is>
      </c>
    </row>
    <row r="41" ht="30" customHeight="1">
      <c r="A41" s="27" t="inlineStr">
        <is>
          <t>FR8.3</t>
        </is>
      </c>
      <c r="B41" s="28" t="inlineStr">
        <is>
          <t>UI &amp; Navigation</t>
        </is>
      </c>
      <c r="C41" s="28" t="inlineStr">
        <is>
          <t>Role-specific Quick Action Grids on dashboards</t>
        </is>
      </c>
      <c r="D41" s="29">
        <f>COUNTIF(AUTH!$B$4:$B$23,"*FR8.3*")+COUNTIF(PATIENT_SOS!$B$4:$B$21,"*FR8.3*")+COUNTIF(SECURITY_SOS!$B$4:$B$18,"*FR8.3*")+COUNTIF(RESPONDER!$B$4:$B$21,"*FR8.3*")+COUNTIF(CAREGIVER!$B$4:$B$15,"*FR8.3*")+COUNTIF(MEDICAL!$B$4:$B$14,"*FR8.3*")+COUNTIF(CHAT!$B$4:$B$17,"*FR8.3*")+COUNTIF(PRIVACY_CALLS!$B$4:$B$40,"*FR8.3*")+COUNTIF(PROFILE!$B$4:$B$9,"*FR8.3*")+COUNTIF(ACCESSIBILITY!$B$4:$B$22,"*FR8.3*")+COUNTIF(NOTIFICATIONS!$B$4:$B$19,"*FR8.3*")+COUNTIF(NAVIGATION_UI!$B$4:$B$8,"*FR8.3*")+COUNTIF(ADMIN_PORTAL!$B$4:$B$19,"*FR8.3*")+COUNTIF(BACKEND_API!$B$4:$B$23,"*FR8.3*")</f>
        <v/>
      </c>
      <c r="E41" s="29">
        <f>IF(D41&gt;=2,"Covered",IF(D41=1,"Minimal","GAP"))</f>
        <v/>
      </c>
      <c r="F41" s="28" t="inlineStr">
        <is>
          <t>NAV-03</t>
        </is>
      </c>
    </row>
    <row r="42" ht="30" customHeight="1">
      <c r="A42" s="30" t="inlineStr">
        <is>
          <t>FR8.4</t>
        </is>
      </c>
      <c r="B42" s="31" t="inlineStr">
        <is>
          <t>UI &amp; Navigation</t>
        </is>
      </c>
      <c r="C42" s="31" t="inlineStr">
        <is>
          <t>60FPS performance with optimized rendering techniques</t>
        </is>
      </c>
      <c r="D42" s="32">
        <f>COUNTIF(AUTH!$B$4:$B$23,"*FR8.4*")+COUNTIF(PATIENT_SOS!$B$4:$B$21,"*FR8.4*")+COUNTIF(SECURITY_SOS!$B$4:$B$18,"*FR8.4*")+COUNTIF(RESPONDER!$B$4:$B$21,"*FR8.4*")+COUNTIF(CAREGIVER!$B$4:$B$15,"*FR8.4*")+COUNTIF(MEDICAL!$B$4:$B$14,"*FR8.4*")+COUNTIF(CHAT!$B$4:$B$17,"*FR8.4*")+COUNTIF(PRIVACY_CALLS!$B$4:$B$40,"*FR8.4*")+COUNTIF(PROFILE!$B$4:$B$9,"*FR8.4*")+COUNTIF(ACCESSIBILITY!$B$4:$B$22,"*FR8.4*")+COUNTIF(NOTIFICATIONS!$B$4:$B$19,"*FR8.4*")+COUNTIF(NAVIGATION_UI!$B$4:$B$8,"*FR8.4*")+COUNTIF(ADMIN_PORTAL!$B$4:$B$19,"*FR8.4*")+COUNTIF(BACKEND_API!$B$4:$B$23,"*FR8.4*")</f>
        <v/>
      </c>
      <c r="E42" s="32">
        <f>IF(D42&gt;=2,"Covered",IF(D42=1,"Minimal","GAP"))</f>
        <v/>
      </c>
      <c r="F42" s="31" t="inlineStr">
        <is>
          <t>PERF-01, PERF-02, NAV-04</t>
        </is>
      </c>
    </row>
    <row r="43" ht="30" customHeight="1">
      <c r="A43" s="27" t="inlineStr">
        <is>
          <t>FR9.1</t>
        </is>
      </c>
      <c r="B43" s="28" t="inlineStr">
        <is>
          <t>Admin</t>
        </is>
      </c>
      <c r="C43" s="28" t="inlineStr">
        <is>
          <t>Secure Web-based Admin Dashboard</t>
        </is>
      </c>
      <c r="D43" s="29">
        <f>COUNTIF(AUTH!$B$4:$B$23,"*FR9.1*")+COUNTIF(PATIENT_SOS!$B$4:$B$21,"*FR9.1*")+COUNTIF(SECURITY_SOS!$B$4:$B$18,"*FR9.1*")+COUNTIF(RESPONDER!$B$4:$B$21,"*FR9.1*")+COUNTIF(CAREGIVER!$B$4:$B$15,"*FR9.1*")+COUNTIF(MEDICAL!$B$4:$B$14,"*FR9.1*")+COUNTIF(CHAT!$B$4:$B$17,"*FR9.1*")+COUNTIF(PRIVACY_CALLS!$B$4:$B$40,"*FR9.1*")+COUNTIF(PROFILE!$B$4:$B$9,"*FR9.1*")+COUNTIF(ACCESSIBILITY!$B$4:$B$22,"*FR9.1*")+COUNTIF(NOTIFICATIONS!$B$4:$B$19,"*FR9.1*")+COUNTIF(NAVIGATION_UI!$B$4:$B$8,"*FR9.1*")+COUNTIF(ADMIN_PORTAL!$B$4:$B$19,"*FR9.1*")+COUNTIF(BACKEND_API!$B$4:$B$23,"*FR9.1*")</f>
        <v/>
      </c>
      <c r="E43" s="29">
        <f>IF(D43&gt;=2,"Covered",IF(D43=1,"Minimal","GAP"))</f>
        <v/>
      </c>
      <c r="F43" s="28" t="inlineStr">
        <is>
          <t>ADM-08</t>
        </is>
      </c>
    </row>
    <row r="44" ht="30" customHeight="1">
      <c r="A44" s="30" t="inlineStr">
        <is>
          <t>FR9.2</t>
        </is>
      </c>
      <c r="B44" s="31" t="inlineStr">
        <is>
          <t>Admin</t>
        </is>
      </c>
      <c r="C44" s="31" t="inlineStr">
        <is>
          <t>List, filter, and search all users across all roles</t>
        </is>
      </c>
      <c r="D44" s="32">
        <f>COUNTIF(AUTH!$B$4:$B$23,"*FR9.2*")+COUNTIF(PATIENT_SOS!$B$4:$B$21,"*FR9.2*")+COUNTIF(SECURITY_SOS!$B$4:$B$18,"*FR9.2*")+COUNTIF(RESPONDER!$B$4:$B$21,"*FR9.2*")+COUNTIF(CAREGIVER!$B$4:$B$15,"*FR9.2*")+COUNTIF(MEDICAL!$B$4:$B$14,"*FR9.2*")+COUNTIF(CHAT!$B$4:$B$17,"*FR9.2*")+COUNTIF(PRIVACY_CALLS!$B$4:$B$40,"*FR9.2*")+COUNTIF(PROFILE!$B$4:$B$9,"*FR9.2*")+COUNTIF(ACCESSIBILITY!$B$4:$B$22,"*FR9.2*")+COUNTIF(NOTIFICATIONS!$B$4:$B$19,"*FR9.2*")+COUNTIF(NAVIGATION_UI!$B$4:$B$8,"*FR9.2*")+COUNTIF(ADMIN_PORTAL!$B$4:$B$19,"*FR9.2*")+COUNTIF(BACKEND_API!$B$4:$B$23,"*FR9.2*")</f>
        <v/>
      </c>
      <c r="E44" s="32">
        <f>IF(D44&gt;=2,"Covered",IF(D44=1,"Minimal","GAP"))</f>
        <v/>
      </c>
      <c r="F44" s="31" t="inlineStr">
        <is>
          <t>ADM-01, ADM-02, ADM-09</t>
        </is>
      </c>
    </row>
    <row r="45" ht="30" customHeight="1">
      <c r="A45" s="27" t="inlineStr">
        <is>
          <t>FR9.3</t>
        </is>
      </c>
      <c r="B45" s="28" t="inlineStr">
        <is>
          <t>Admin</t>
        </is>
      </c>
      <c r="C45" s="28" t="inlineStr">
        <is>
          <t>Deactivate or delete user accounts</t>
        </is>
      </c>
      <c r="D45" s="29">
        <f>COUNTIF(AUTH!$B$4:$B$23,"*FR9.3*")+COUNTIF(PATIENT_SOS!$B$4:$B$21,"*FR9.3*")+COUNTIF(SECURITY_SOS!$B$4:$B$18,"*FR9.3*")+COUNTIF(RESPONDER!$B$4:$B$21,"*FR9.3*")+COUNTIF(CAREGIVER!$B$4:$B$15,"*FR9.3*")+COUNTIF(MEDICAL!$B$4:$B$14,"*FR9.3*")+COUNTIF(CHAT!$B$4:$B$17,"*FR9.3*")+COUNTIF(PRIVACY_CALLS!$B$4:$B$40,"*FR9.3*")+COUNTIF(PROFILE!$B$4:$B$9,"*FR9.3*")+COUNTIF(ACCESSIBILITY!$B$4:$B$22,"*FR9.3*")+COUNTIF(NOTIFICATIONS!$B$4:$B$19,"*FR9.3*")+COUNTIF(NAVIGATION_UI!$B$4:$B$8,"*FR9.3*")+COUNTIF(ADMIN_PORTAL!$B$4:$B$19,"*FR9.3*")+COUNTIF(BACKEND_API!$B$4:$B$23,"*FR9.3*")</f>
        <v/>
      </c>
      <c r="E45" s="29">
        <f>IF(D45&gt;=2,"Covered",IF(D45=1,"Minimal","GAP"))</f>
        <v/>
      </c>
      <c r="F45" s="28" t="inlineStr">
        <is>
          <t>AUTH-17, ADM-03, ADM-10</t>
        </is>
      </c>
    </row>
    <row r="46" ht="30" customHeight="1">
      <c r="A46" s="30" t="inlineStr">
        <is>
          <t>FR9.4</t>
        </is>
      </c>
      <c r="B46" s="31" t="inlineStr">
        <is>
          <t>Admin</t>
        </is>
      </c>
      <c r="C46" s="31" t="inlineStr">
        <is>
          <t>Responder Verification Workflow — review pending applications</t>
        </is>
      </c>
      <c r="D46" s="32">
        <f>COUNTIF(AUTH!$B$4:$B$23,"*FR9.4*")+COUNTIF(PATIENT_SOS!$B$4:$B$21,"*FR9.4*")+COUNTIF(SECURITY_SOS!$B$4:$B$18,"*FR9.4*")+COUNTIF(RESPONDER!$B$4:$B$21,"*FR9.4*")+COUNTIF(CAREGIVER!$B$4:$B$15,"*FR9.4*")+COUNTIF(MEDICAL!$B$4:$B$14,"*FR9.4*")+COUNTIF(CHAT!$B$4:$B$17,"*FR9.4*")+COUNTIF(PRIVACY_CALLS!$B$4:$B$40,"*FR9.4*")+COUNTIF(PROFILE!$B$4:$B$9,"*FR9.4*")+COUNTIF(ACCESSIBILITY!$B$4:$B$22,"*FR9.4*")+COUNTIF(NOTIFICATIONS!$B$4:$B$19,"*FR9.4*")+COUNTIF(NAVIGATION_UI!$B$4:$B$8,"*FR9.4*")+COUNTIF(ADMIN_PORTAL!$B$4:$B$19,"*FR9.4*")+COUNTIF(BACKEND_API!$B$4:$B$23,"*FR9.4*")</f>
        <v/>
      </c>
      <c r="E46" s="32">
        <f>IF(D46&gt;=2,"Covered",IF(D46=1,"Minimal","GAP"))</f>
        <v/>
      </c>
      <c r="F46" s="31" t="inlineStr">
        <is>
          <t>AUTH-03, RSP-03, ADM-06</t>
        </is>
      </c>
    </row>
    <row r="47" ht="30" customHeight="1">
      <c r="A47" s="27" t="inlineStr">
        <is>
          <t>FR9.5</t>
        </is>
      </c>
      <c r="B47" s="28" t="inlineStr">
        <is>
          <t>Admin</t>
        </is>
      </c>
      <c r="C47" s="28" t="inlineStr">
        <is>
          <t>Approve (VERIFIED) or Reject responders with reason</t>
        </is>
      </c>
      <c r="D47" s="29">
        <f>COUNTIF(AUTH!$B$4:$B$23,"*FR9.5*")+COUNTIF(PATIENT_SOS!$B$4:$B$21,"*FR9.5*")+COUNTIF(SECURITY_SOS!$B$4:$B$18,"*FR9.5*")+COUNTIF(RESPONDER!$B$4:$B$21,"*FR9.5*")+COUNTIF(CAREGIVER!$B$4:$B$15,"*FR9.5*")+COUNTIF(MEDICAL!$B$4:$B$14,"*FR9.5*")+COUNTIF(CHAT!$B$4:$B$17,"*FR9.5*")+COUNTIF(PRIVACY_CALLS!$B$4:$B$40,"*FR9.5*")+COUNTIF(PROFILE!$B$4:$B$9,"*FR9.5*")+COUNTIF(ACCESSIBILITY!$B$4:$B$22,"*FR9.5*")+COUNTIF(NOTIFICATIONS!$B$4:$B$19,"*FR9.5*")+COUNTIF(NAVIGATION_UI!$B$4:$B$8,"*FR9.5*")+COUNTIF(ADMIN_PORTAL!$B$4:$B$19,"*FR9.5*")+COUNTIF(BACKEND_API!$B$4:$B$23,"*FR9.5*")</f>
        <v/>
      </c>
      <c r="E47" s="29">
        <f>IF(D47&gt;=2,"Covered",IF(D47=1,"Minimal","GAP"))</f>
        <v/>
      </c>
      <c r="F47" s="28" t="inlineStr">
        <is>
          <t>ADM-04, ADM-05</t>
        </is>
      </c>
    </row>
    <row r="48" ht="30" customHeight="1">
      <c r="A48" s="30" t="inlineStr">
        <is>
          <t>FR9.6</t>
        </is>
      </c>
      <c r="B48" s="31" t="inlineStr">
        <is>
          <t>Admin</t>
        </is>
      </c>
      <c r="C48" s="31" t="inlineStr">
        <is>
          <t>Real-time stats: total users, total emergencies, active emergencies, verified responders</t>
        </is>
      </c>
      <c r="D48" s="32">
        <f>COUNTIF(AUTH!$B$4:$B$23,"*FR9.6*")+COUNTIF(PATIENT_SOS!$B$4:$B$21,"*FR9.6*")+COUNTIF(SECURITY_SOS!$B$4:$B$18,"*FR9.6*")+COUNTIF(RESPONDER!$B$4:$B$21,"*FR9.6*")+COUNTIF(CAREGIVER!$B$4:$B$15,"*FR9.6*")+COUNTIF(MEDICAL!$B$4:$B$14,"*FR9.6*")+COUNTIF(CHAT!$B$4:$B$17,"*FR9.6*")+COUNTIF(PRIVACY_CALLS!$B$4:$B$40,"*FR9.6*")+COUNTIF(PROFILE!$B$4:$B$9,"*FR9.6*")+COUNTIF(ACCESSIBILITY!$B$4:$B$22,"*FR9.6*")+COUNTIF(NOTIFICATIONS!$B$4:$B$19,"*FR9.6*")+COUNTIF(NAVIGATION_UI!$B$4:$B$8,"*FR9.6*")+COUNTIF(ADMIN_PORTAL!$B$4:$B$19,"*FR9.6*")+COUNTIF(BACKEND_API!$B$4:$B$23,"*FR9.6*")</f>
        <v/>
      </c>
      <c r="E48" s="32">
        <f>IF(D48&gt;=2,"Covered",IF(D48=1,"Minimal","GAP"))</f>
        <v/>
      </c>
      <c r="F48" s="31" t="inlineStr">
        <is>
          <t>ADM-07</t>
        </is>
      </c>
    </row>
    <row r="49" ht="30" customHeight="1">
      <c r="A49" s="27" t="inlineStr">
        <is>
          <t>FR9.7</t>
        </is>
      </c>
      <c r="B49" s="28" t="inlineStr">
        <is>
          <t>Admin</t>
        </is>
      </c>
      <c r="C49" s="28" t="inlineStr">
        <is>
          <t>Only ADMIN role can access administrative endpoints</t>
        </is>
      </c>
      <c r="D49" s="29">
        <f>COUNTIF(AUTH!$B$4:$B$23,"*FR9.7*")+COUNTIF(PATIENT_SOS!$B$4:$B$21,"*FR9.7*")+COUNTIF(SECURITY_SOS!$B$4:$B$18,"*FR9.7*")+COUNTIF(RESPONDER!$B$4:$B$21,"*FR9.7*")+COUNTIF(CAREGIVER!$B$4:$B$15,"*FR9.7*")+COUNTIF(MEDICAL!$B$4:$B$14,"*FR9.7*")+COUNTIF(CHAT!$B$4:$B$17,"*FR9.7*")+COUNTIF(PRIVACY_CALLS!$B$4:$B$40,"*FR9.7*")+COUNTIF(PROFILE!$B$4:$B$9,"*FR9.7*")+COUNTIF(ACCESSIBILITY!$B$4:$B$22,"*FR9.7*")+COUNTIF(NOTIFICATIONS!$B$4:$B$19,"*FR9.7*")+COUNTIF(NAVIGATION_UI!$B$4:$B$8,"*FR9.7*")+COUNTIF(ADMIN_PORTAL!$B$4:$B$19,"*FR9.7*")+COUNTIF(BACKEND_API!$B$4:$B$23,"*FR9.7*")</f>
        <v/>
      </c>
      <c r="E49" s="29">
        <f>IF(D49&gt;=2,"Covered",IF(D49=1,"Minimal","GAP"))</f>
        <v/>
      </c>
      <c r="F49" s="28" t="inlineStr">
        <is>
          <t>ADM-08, API-11</t>
        </is>
      </c>
    </row>
    <row r="51">
      <c r="B51" s="11" t="inlineStr">
        <is>
          <t>Requirements</t>
        </is>
      </c>
      <c r="C51" s="33">
        <f>COUNTA(A3:A49)</f>
        <v/>
      </c>
    </row>
    <row r="52">
      <c r="B52" s="11" t="inlineStr">
        <is>
          <t>Covered (2+ tests)</t>
        </is>
      </c>
      <c r="C52" s="33">
        <f>COUNTIF(E3:E49,"Covered")</f>
        <v/>
      </c>
    </row>
    <row r="53">
      <c r="B53" s="11" t="inlineStr">
        <is>
          <t>Minimal (1 test)</t>
        </is>
      </c>
      <c r="C53" s="33">
        <f>COUNTIF(E3:E49,"Minimal")</f>
        <v/>
      </c>
    </row>
    <row r="54">
      <c r="B54" s="11" t="inlineStr">
        <is>
          <t>Gaps (0 tests)</t>
        </is>
      </c>
      <c r="C54" s="33">
        <f>COUNTIF(E3:E49,"GAP")</f>
        <v/>
      </c>
    </row>
    <row r="56">
      <c r="B56" s="25" t="inlineStr">
        <is>
          <t>Source: MediFind_Requirements_Analysis.docx (SRD modules 1–9). The document header says 39 FRs; the module tables list 47, all included here.</t>
        </is>
      </c>
    </row>
  </sheetData>
  <mergeCells count="1">
    <mergeCell ref="A1:F1"/>
  </mergeCells>
  <conditionalFormatting sqref="E3:E49">
    <cfRule type="cellIs" priority="1" operator="equal" dxfId="0">
      <formula>"Covered"</formula>
    </cfRule>
    <cfRule type="cellIs" priority="2" operator="equal" dxfId="1">
      <formula>"Minimal"</formula>
    </cfRule>
    <cfRule type="cellIs" priority="3" operator="equal" dxfId="2">
      <formula>"GAP"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AUTH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REGISTRATION</t>
        </is>
      </c>
    </row>
    <row r="4" ht="64" customHeight="1">
      <c r="A4" s="37" t="inlineStr">
        <is>
          <t>AUTH-01</t>
        </is>
      </c>
      <c r="B4" s="38" t="inlineStr">
        <is>
          <t>FR1.1, FR1.3</t>
        </is>
      </c>
      <c r="C4" s="39" t="inlineStr">
        <is>
          <t>Registration</t>
        </is>
      </c>
      <c r="D4" s="39" t="inlineStr">
        <is>
          <t>Patient can register with name, email, password, phone, CNIC number and patient type (Normal/Deaf)</t>
        </is>
      </c>
      <c r="E4" s="39" t="inlineStr">
        <is>
          <t>1. Open app → Get started
2. Choose Patient → "I can hear"
3. Fill name, email, phone, CNIC, password (8+)
4. Submit</t>
        </is>
      </c>
      <c r="F4" s="39" t="inlineStr">
        <is>
          <t>HTTP 201; OTP verification screen shown; 6-digit code emailed (valid 15 min)</t>
        </is>
      </c>
      <c r="G4" s="38" t="inlineStr">
        <is>
          <t>Critical</t>
        </is>
      </c>
      <c r="H4" s="40" t="inlineStr">
        <is>
          <t>PENDING</t>
        </is>
      </c>
      <c r="I4" s="39" t="n"/>
    </row>
    <row r="5" ht="50" customHeight="1">
      <c r="A5" s="41" t="inlineStr">
        <is>
          <t>AUTH-02</t>
        </is>
      </c>
      <c r="B5" s="42" t="inlineStr">
        <is>
          <t>FR1.1, FR3.1</t>
        </is>
      </c>
      <c r="C5" s="43" t="inlineStr">
        <is>
          <t>Registration</t>
        </is>
      </c>
      <c r="D5" s="43" t="inlineStr">
        <is>
          <t>Deaf patient can register with patientType = DEAF</t>
        </is>
      </c>
      <c r="E5" s="43" t="inlineStr">
        <is>
          <t>1. Register with patientType = DEAF
2. Complete all steps</t>
        </is>
      </c>
      <c r="F5" s="43" t="inlineStr">
        <is>
          <t>Account created; deaf-specific onboarding tips shown; textOnlyMode defaults to true</t>
        </is>
      </c>
      <c r="G5" s="42" t="inlineStr">
        <is>
          <t>Critical</t>
        </is>
      </c>
      <c r="H5" s="40" t="inlineStr">
        <is>
          <t>PENDING</t>
        </is>
      </c>
      <c r="I5" s="43" t="n"/>
    </row>
    <row r="6" ht="64" customHeight="1">
      <c r="A6" s="37" t="inlineStr">
        <is>
          <t>AUTH-03</t>
        </is>
      </c>
      <c r="B6" s="38" t="inlineStr">
        <is>
          <t>FR1.1, FR9.4</t>
        </is>
      </c>
      <c r="C6" s="39" t="inlineStr">
        <is>
          <t>Registration</t>
        </is>
      </c>
      <c r="D6" s="39" t="inlineStr">
        <is>
          <t>Responder can register with CNIC (front/back), employee card, driving licence and motorbike documents</t>
        </is>
      </c>
      <c r="E6" s="39" t="inlineStr">
        <is>
          <t>1. Choose Responder
2. Fill organisation, licence no., motorbike no.
3. Upload all documents
4. Submit</t>
        </is>
      </c>
      <c r="F6" s="39" t="inlineStr">
        <is>
          <t>Account created with verification PENDING; "Awaiting admin approval" screen; application appears in admin Verification Queue</t>
        </is>
      </c>
      <c r="G6" s="38" t="inlineStr">
        <is>
          <t>Critical</t>
        </is>
      </c>
      <c r="H6" s="40" t="inlineStr">
        <is>
          <t>PENDING</t>
        </is>
      </c>
      <c r="I6" s="39" t="n"/>
    </row>
    <row r="7" ht="64" customHeight="1">
      <c r="A7" s="41" t="inlineStr">
        <is>
          <t>AUTH-04</t>
        </is>
      </c>
      <c r="B7" s="42" t="inlineStr">
        <is>
          <t>FR1.1, FR1.3</t>
        </is>
      </c>
      <c r="C7" s="43" t="inlineStr">
        <is>
          <t>Registration</t>
        </is>
      </c>
      <c r="D7" s="43" t="inlineStr">
        <is>
          <t>Caregiver can register; linking to a patient happens after login by email invitation</t>
        </is>
      </c>
      <c r="E7" s="43" t="inlineStr">
        <is>
          <t>1. Choose Caregiver
2. Complete registration and email OTP
3. Log in → Link patient → enter patient email</t>
        </is>
      </c>
      <c r="F7" s="43" t="inlineStr">
        <is>
          <t>Caregiver account created; invitation sent to patient (in-app + push + email); link shows PENDING until patient accepts</t>
        </is>
      </c>
      <c r="G7" s="42" t="inlineStr">
        <is>
          <t>High</t>
        </is>
      </c>
      <c r="H7" s="40" t="inlineStr">
        <is>
          <t>PENDING</t>
        </is>
      </c>
      <c r="I7" s="43" t="n"/>
    </row>
    <row r="8" ht="50" customHeight="1">
      <c r="A8" s="37" t="inlineStr">
        <is>
          <t>AUTH-05</t>
        </is>
      </c>
      <c r="B8" s="38" t="inlineStr">
        <is>
          <t>FR1.1</t>
        </is>
      </c>
      <c r="C8" s="39" t="inlineStr">
        <is>
          <t>Registration</t>
        </is>
      </c>
      <c r="D8" s="39" t="inlineStr">
        <is>
          <t>Duplicate email registration is rejected</t>
        </is>
      </c>
      <c r="E8" s="39" t="inlineStr">
        <is>
          <t>1. Register with an email already in the system
2. Submit</t>
        </is>
      </c>
      <c r="F8" s="39" t="inlineStr">
        <is>
          <t>Error "User already exists with this email" shown; no duplicate account created</t>
        </is>
      </c>
      <c r="G8" s="38" t="inlineStr">
        <is>
          <t>High</t>
        </is>
      </c>
      <c r="H8" s="40" t="inlineStr">
        <is>
          <t>PENDING</t>
        </is>
      </c>
      <c r="I8" s="39" t="n"/>
    </row>
    <row r="9" ht="40" customHeight="1">
      <c r="A9" s="41" t="inlineStr">
        <is>
          <t>AUTH-06</t>
        </is>
      </c>
      <c r="B9" s="42" t="inlineStr">
        <is>
          <t>FR1.1</t>
        </is>
      </c>
      <c r="C9" s="43" t="inlineStr">
        <is>
          <t>Registration</t>
        </is>
      </c>
      <c r="D9" s="43" t="inlineStr">
        <is>
          <t>Password must meet minimum requirements (≥8 chars)</t>
        </is>
      </c>
      <c r="E9" s="43" t="inlineStr">
        <is>
          <t>1. Enter password with 5 characters
2. Submit</t>
        </is>
      </c>
      <c r="F9" s="43" t="inlineStr">
        <is>
          <t>Validation error shown inline; form not submitted</t>
        </is>
      </c>
      <c r="G9" s="42" t="inlineStr">
        <is>
          <t>Medium</t>
        </is>
      </c>
      <c r="H9" s="40" t="inlineStr">
        <is>
          <t>PENDING</t>
        </is>
      </c>
      <c r="I9" s="43" t="n"/>
    </row>
    <row r="10" ht="18" customHeight="1">
      <c r="A10" s="36" t="inlineStr">
        <is>
          <t xml:space="preserve">  LOGIN</t>
        </is>
      </c>
    </row>
    <row r="11" ht="40" customHeight="1">
      <c r="A11" s="37" t="inlineStr">
        <is>
          <t>AUTH-07</t>
        </is>
      </c>
      <c r="B11" s="38" t="inlineStr">
        <is>
          <t>FR1.2, FR1.6</t>
        </is>
      </c>
      <c r="C11" s="39" t="inlineStr">
        <is>
          <t>Login</t>
        </is>
      </c>
      <c r="D11" s="39" t="inlineStr">
        <is>
          <t>Registered user can log in with email and password</t>
        </is>
      </c>
      <c r="E11" s="39" t="inlineStr">
        <is>
          <t>1. Enter valid credentials
2. Tap Login</t>
        </is>
      </c>
      <c r="F11" s="39" t="inlineStr">
        <is>
          <t>JWT token stored; user navigated to role-appropriate home screen</t>
        </is>
      </c>
      <c r="G11" s="38" t="inlineStr">
        <is>
          <t>Critical</t>
        </is>
      </c>
      <c r="H11" s="40" t="inlineStr">
        <is>
          <t>PENDING</t>
        </is>
      </c>
      <c r="I11" s="39" t="n"/>
    </row>
    <row r="12" ht="50" customHeight="1">
      <c r="A12" s="41" t="inlineStr">
        <is>
          <t>AUTH-08</t>
        </is>
      </c>
      <c r="B12" s="42" t="inlineStr">
        <is>
          <t>FR1.2</t>
        </is>
      </c>
      <c r="C12" s="43" t="inlineStr">
        <is>
          <t>Login</t>
        </is>
      </c>
      <c r="D12" s="43" t="inlineStr">
        <is>
          <t>Invalid credentials show an error and do not log in</t>
        </is>
      </c>
      <c r="E12" s="43" t="inlineStr">
        <is>
          <t>1. Enter wrong password
2. Tap Login</t>
        </is>
      </c>
      <c r="F12" s="43" t="inlineStr">
        <is>
          <t>Error "Invalid credentials" shown; user stays on login; warning appears when 2 or fewer attempts remain</t>
        </is>
      </c>
      <c r="G12" s="42" t="inlineStr">
        <is>
          <t>Critical</t>
        </is>
      </c>
      <c r="H12" s="40" t="inlineStr">
        <is>
          <t>PENDING</t>
        </is>
      </c>
      <c r="I12" s="43" t="n"/>
    </row>
    <row r="13" ht="50" customHeight="1">
      <c r="A13" s="37" t="inlineStr">
        <is>
          <t>AUTH-09</t>
        </is>
      </c>
      <c r="B13" s="38" t="inlineStr">
        <is>
          <t>FR1.2</t>
        </is>
      </c>
      <c r="C13" s="39" t="inlineStr">
        <is>
          <t>Login</t>
        </is>
      </c>
      <c r="D13" s="39" t="inlineStr">
        <is>
          <t>Unverified account is blocked from logging in</t>
        </is>
      </c>
      <c r="E13" s="39" t="inlineStr">
        <is>
          <t>1. Register new account but do not verify email
2. Try to log in</t>
        </is>
      </c>
      <c r="F13" s="39" t="inlineStr">
        <is>
          <t>Login denied with "Please verify your email before logging in"; OTP screen offered</t>
        </is>
      </c>
      <c r="G13" s="38" t="inlineStr">
        <is>
          <t>High</t>
        </is>
      </c>
      <c r="H13" s="40" t="inlineStr">
        <is>
          <t>PENDING</t>
        </is>
      </c>
      <c r="I13" s="39" t="n"/>
    </row>
    <row r="14" ht="18" customHeight="1">
      <c r="A14" s="36" t="inlineStr">
        <is>
          <t xml:space="preserve">  SESSION &amp; LOGOUT</t>
        </is>
      </c>
    </row>
    <row r="15" ht="50" customHeight="1">
      <c r="A15" s="37" t="inlineStr">
        <is>
          <t>AUTH-10</t>
        </is>
      </c>
      <c r="B15" s="38" t="inlineStr">
        <is>
          <t>FR1.2</t>
        </is>
      </c>
      <c r="C15" s="39" t="inlineStr">
        <is>
          <t>Session</t>
        </is>
      </c>
      <c r="D15" s="39" t="inlineStr">
        <is>
          <t>JWT token is refreshed before expiry</t>
        </is>
      </c>
      <c r="E15" s="39" t="inlineStr">
        <is>
          <t>1. Log in
2. Wait 29 minutes (near 30-min access token expiry)
3. Perform any API action</t>
        </is>
      </c>
      <c r="F15" s="39" t="inlineStr">
        <is>
          <t>Token refreshed silently; user remains logged in without interruption</t>
        </is>
      </c>
      <c r="G15" s="38" t="inlineStr">
        <is>
          <t>High</t>
        </is>
      </c>
      <c r="H15" s="40" t="inlineStr">
        <is>
          <t>PENDING</t>
        </is>
      </c>
      <c r="I15" s="39" t="n"/>
    </row>
    <row r="16" ht="64" customHeight="1">
      <c r="A16" s="41" t="inlineStr">
        <is>
          <t>AUTH-11</t>
        </is>
      </c>
      <c r="B16" s="42" t="inlineStr">
        <is>
          <t>FR1.2</t>
        </is>
      </c>
      <c r="C16" s="43" t="inlineStr">
        <is>
          <t>Logout</t>
        </is>
      </c>
      <c r="D16" s="43" t="inlineStr">
        <is>
          <t>User can log out; session is fully cleared</t>
        </is>
      </c>
      <c r="E16" s="43" t="inlineStr">
        <is>
          <t>1. Log in
2. Navigate to Settings
3. Tap Logout</t>
        </is>
      </c>
      <c r="F16" s="43" t="inlineStr">
        <is>
          <t>Tokens cleared from storage; user redirected to Login screen; back button does not return to protected screen</t>
        </is>
      </c>
      <c r="G16" s="42" t="inlineStr">
        <is>
          <t>High</t>
        </is>
      </c>
      <c r="H16" s="40" t="inlineStr">
        <is>
          <t>PENDING</t>
        </is>
      </c>
      <c r="I16" s="43" t="n"/>
    </row>
    <row r="17" ht="64" customHeight="1">
      <c r="A17" s="37" t="inlineStr">
        <is>
          <t>AUTH-12</t>
        </is>
      </c>
      <c r="B17" s="44" t="inlineStr">
        <is>
          <t>Beyond SRS</t>
        </is>
      </c>
      <c r="C17" s="39" t="inlineStr">
        <is>
          <t>Logout</t>
        </is>
      </c>
      <c r="D17" s="39" t="inlineStr">
        <is>
          <t>After account deletion, user is redirected to Login screen without black screen flash</t>
        </is>
      </c>
      <c r="E17" s="39" t="inlineStr">
        <is>
          <t>1. Log in as any role
2. Go to Profile Settings
3. Tap Delete Account
4. Confirm in dialog</t>
        </is>
      </c>
      <c r="F17" s="39" t="inlineStr">
        <is>
          <t>Account deleted; user redirected smoothly to Login screen; NO black screen / dark overlay flash during transition</t>
        </is>
      </c>
      <c r="G17" s="38" t="inlineStr">
        <is>
          <t>Critical</t>
        </is>
      </c>
      <c r="H17" s="40" t="inlineStr">
        <is>
          <t>PENDING</t>
        </is>
      </c>
      <c r="I17" s="39" t="n"/>
    </row>
    <row r="18" ht="18" customHeight="1">
      <c r="A18" s="36" t="inlineStr">
        <is>
          <t xml:space="preserve">  ADDED IN v2.0 — SRS GAPS &amp; NEW FEATURES</t>
        </is>
      </c>
    </row>
    <row r="19" ht="50" customHeight="1">
      <c r="A19" s="37" t="inlineStr">
        <is>
          <t>AUTH-13</t>
        </is>
      </c>
      <c r="B19" s="38" t="inlineStr">
        <is>
          <t>FR1.2</t>
        </is>
      </c>
      <c r="C19" s="39" t="inlineStr">
        <is>
          <t>Login</t>
        </is>
      </c>
      <c r="D19" s="39" t="inlineStr">
        <is>
          <t>Account locks for 30 minutes after 5 failed login attempts</t>
        </is>
      </c>
      <c r="E19" s="39" t="inlineStr">
        <is>
          <t>1. Enter wrong password 5 times
2. Enter correct password</t>
        </is>
      </c>
      <c r="F19" s="39" t="inlineStr">
        <is>
          <t>Locked message with minutes remaining; correct password rejected until lock expires</t>
        </is>
      </c>
      <c r="G19" s="38" t="inlineStr">
        <is>
          <t>High</t>
        </is>
      </c>
      <c r="H19" s="40" t="inlineStr">
        <is>
          <t>PENDING</t>
        </is>
      </c>
      <c r="I19" s="39" t="n"/>
    </row>
    <row r="20" ht="50" customHeight="1">
      <c r="A20" s="41" t="inlineStr">
        <is>
          <t>AUTH-14</t>
        </is>
      </c>
      <c r="B20" s="42" t="inlineStr">
        <is>
          <t>FR1.5</t>
        </is>
      </c>
      <c r="C20" s="43" t="inlineStr">
        <is>
          <t>Password Reset</t>
        </is>
      </c>
      <c r="D20" s="43" t="inlineStr">
        <is>
          <t>User resets a forgotten password with an emailed 6-digit OTP</t>
        </is>
      </c>
      <c r="E20" s="43" t="inlineStr">
        <is>
          <t>1. Login → Forgot password → enter email
2. Enter OTP from email
3. Set new password (8+)</t>
        </is>
      </c>
      <c r="F20" s="43" t="inlineStr">
        <is>
          <t>Password changed; old sessions signed out; login works with new password only</t>
        </is>
      </c>
      <c r="G20" s="42" t="inlineStr">
        <is>
          <t>Critical</t>
        </is>
      </c>
      <c r="H20" s="40" t="inlineStr">
        <is>
          <t>PENDING</t>
        </is>
      </c>
      <c r="I20" s="43" t="n"/>
    </row>
    <row r="21" ht="64" customHeight="1">
      <c r="A21" s="37" t="inlineStr">
        <is>
          <t>AUTH-15</t>
        </is>
      </c>
      <c r="B21" s="38" t="inlineStr">
        <is>
          <t>FR1.5</t>
        </is>
      </c>
      <c r="C21" s="39" t="inlineStr">
        <is>
          <t>Password Reset</t>
        </is>
      </c>
      <c r="D21" s="39" t="inlineStr">
        <is>
          <t>Reset/verification code is invalidated after 5 wrong attempts</t>
        </is>
      </c>
      <c r="E21" s="39" t="inlineStr">
        <is>
          <t>1. Request reset code
2. Enter a wrong code 5 times
3. Enter the correct code</t>
        </is>
      </c>
      <c r="F21" s="39" t="inlineStr">
        <is>
          <t>After 5 wrong attempts: "Too many incorrect attempts"; the old code no longer works; a new code must be requested</t>
        </is>
      </c>
      <c r="G21" s="38" t="inlineStr">
        <is>
          <t>High</t>
        </is>
      </c>
      <c r="H21" s="40" t="inlineStr">
        <is>
          <t>PENDING</t>
        </is>
      </c>
      <c r="I21" s="39" t="n"/>
    </row>
    <row r="22" ht="40" customHeight="1">
      <c r="A22" s="41" t="inlineStr">
        <is>
          <t>AUTH-16</t>
        </is>
      </c>
      <c r="B22" s="42" t="inlineStr">
        <is>
          <t>FR1.4, FR1.6</t>
        </is>
      </c>
      <c r="C22" s="43" t="inlineStr">
        <is>
          <t>Registration</t>
        </is>
      </c>
      <c r="D22" s="43" t="inlineStr">
        <is>
          <t>Public registration cannot create an ADMIN account</t>
        </is>
      </c>
      <c r="E22" s="43" t="inlineStr">
        <is>
          <t>POST /api/auth/register with role = ADMIN</t>
        </is>
      </c>
      <c r="F22" s="43" t="inlineStr">
        <is>
          <t>HTTP 400 "Invalid role"; no account created</t>
        </is>
      </c>
      <c r="G22" s="42" t="inlineStr">
        <is>
          <t>Critical</t>
        </is>
      </c>
      <c r="H22" s="40" t="inlineStr">
        <is>
          <t>PENDING</t>
        </is>
      </c>
      <c r="I22" s="43" t="n"/>
    </row>
    <row r="23" ht="50" customHeight="1">
      <c r="A23" s="37" t="inlineStr">
        <is>
          <t>AUTH-17</t>
        </is>
      </c>
      <c r="B23" s="38" t="inlineStr">
        <is>
          <t>FR9.3</t>
        </is>
      </c>
      <c r="C23" s="39" t="inlineStr">
        <is>
          <t>Login</t>
        </is>
      </c>
      <c r="D23" s="39" t="inlineStr">
        <is>
          <t>Deactivated account cannot log in and existing sessions stop working</t>
        </is>
      </c>
      <c r="E23" s="39" t="inlineStr">
        <is>
          <t>1. Admin deactivates a logged-in user
2. User performs any action
3. User tries to log in again</t>
        </is>
      </c>
      <c r="F23" s="39" t="inlineStr">
        <is>
          <t>API returns 401 "account has been deactivated"; app signs out; login denied</t>
        </is>
      </c>
      <c r="G23" s="38" t="inlineStr">
        <is>
          <t>High</t>
        </is>
      </c>
      <c r="H23" s="40" t="inlineStr">
        <is>
          <t>PENDING</t>
        </is>
      </c>
      <c r="I23" s="39" t="n"/>
    </row>
  </sheetData>
  <mergeCells count="5">
    <mergeCell ref="A10:I10"/>
    <mergeCell ref="A14:I14"/>
    <mergeCell ref="A1:I1"/>
    <mergeCell ref="A18:I18"/>
    <mergeCell ref="A3:I3"/>
  </mergeCells>
  <conditionalFormatting sqref="H4:H23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23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PATIENT_SOS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SOS TRIGGER</t>
        </is>
      </c>
    </row>
    <row r="4" ht="78" customHeight="1">
      <c r="A4" s="37" t="inlineStr">
        <is>
          <t>SOS-01</t>
        </is>
      </c>
      <c r="B4" s="38" t="inlineStr">
        <is>
          <t>FR4.1, FR4.3</t>
        </is>
      </c>
      <c r="C4" s="39" t="inlineStr">
        <is>
          <t>SOS Trigger</t>
        </is>
      </c>
      <c r="D4" s="39" t="inlineStr">
        <is>
          <t>Patient triggers SOS by holding the SOS button, choosing an emergency type, then a 60-second countdown before the alert is sent</t>
        </is>
      </c>
      <c r="E4" s="39" t="inlineStr">
        <is>
          <t>1. Press and hold SOS for ~2 s (progress ring fills)
2. Select emergency type
3. Watch the 60-second countdown reach 0 (or tap Send SOS now)</t>
        </is>
      </c>
      <c r="F4" s="39" t="inlineStr">
        <is>
          <t>No request is sent during the countdown; at 0 the SOS is created (HTTP 201), patient enters searching/tracking screen, nearby responders notified</t>
        </is>
      </c>
      <c r="G4" s="38" t="inlineStr">
        <is>
          <t>Critical</t>
        </is>
      </c>
      <c r="H4" s="40" t="inlineStr">
        <is>
          <t>PENDING</t>
        </is>
      </c>
      <c r="I4" s="39" t="n"/>
    </row>
    <row r="5" ht="64" customHeight="1">
      <c r="A5" s="41" t="inlineStr">
        <is>
          <t>SOS-02</t>
        </is>
      </c>
      <c r="B5" s="42" t="inlineStr">
        <is>
          <t>FR3.1, FR3.3, FR3.4</t>
        </is>
      </c>
      <c r="C5" s="43" t="inlineStr">
        <is>
          <t>SOS Trigger</t>
        </is>
      </c>
      <c r="D5" s="43" t="inlineStr">
        <is>
          <t>Deaf patient can trigger SOS — no voice prompt plays during countdown or after submission</t>
        </is>
      </c>
      <c r="E5" s="43" t="inlineStr">
        <is>
          <t>1. Log in as Deaf Patient
2. Trigger SOS
3. Confirm
4. Monitor for any audio output</t>
        </is>
      </c>
      <c r="F5" s="43" t="inlineStr">
        <is>
          <t>SOS triggered; NO TTS voice plays; vibration feedback fires if enabled; full-screen visual confirmation shown</t>
        </is>
      </c>
      <c r="G5" s="42" t="inlineStr">
        <is>
          <t>Critical</t>
        </is>
      </c>
      <c r="H5" s="40" t="inlineStr">
        <is>
          <t>PENDING</t>
        </is>
      </c>
      <c r="I5" s="43" t="n"/>
    </row>
    <row r="6" ht="50" customHeight="1">
      <c r="A6" s="37" t="inlineStr">
        <is>
          <t>SOS-03</t>
        </is>
      </c>
      <c r="B6" s="38" t="inlineStr">
        <is>
          <t>FR4.3</t>
        </is>
      </c>
      <c r="C6" s="39" t="inlineStr">
        <is>
          <t>SOS Trigger</t>
        </is>
      </c>
      <c r="D6" s="39" t="inlineStr">
        <is>
          <t>SOS can be cancelled during the 60-second countdown without contacting the server</t>
        </is>
      </c>
      <c r="E6" s="39" t="inlineStr">
        <is>
          <t>1. Start SOS (hold + type)
2. Tap Cancel before the countdown ends
3. Check admin SOS Logistics</t>
        </is>
      </c>
      <c r="F6" s="39" t="inlineStr">
        <is>
          <t>Countdown stops; user returns to Home; NO emergency record exists and no responder/caregiver is notified</t>
        </is>
      </c>
      <c r="G6" s="38" t="inlineStr">
        <is>
          <t>High</t>
        </is>
      </c>
      <c r="H6" s="40" t="inlineStr">
        <is>
          <t>PENDING</t>
        </is>
      </c>
      <c r="I6" s="39" t="n"/>
    </row>
    <row r="7" ht="64" customHeight="1">
      <c r="A7" s="41" t="inlineStr">
        <is>
          <t>SOS-04</t>
        </is>
      </c>
      <c r="B7" s="42" t="inlineStr">
        <is>
          <t>FR4.2</t>
        </is>
      </c>
      <c r="C7" s="43" t="inlineStr">
        <is>
          <t>SOS Trigger</t>
        </is>
      </c>
      <c r="D7" s="43" t="inlineStr">
        <is>
          <t>GPS/location permission is required; the app never sends a fake or default location</t>
        </is>
      </c>
      <c r="E7" s="43" t="inlineStr">
        <is>
          <t>1. Disable location permission or GPS
2. Try to send SOS</t>
        </is>
      </c>
      <c r="F7" s="43" t="inlineStr">
        <is>
          <t>Prompt to enable location with "Open settings", "Try again" and "Call 1122"; SOS is not sent without a real fix</t>
        </is>
      </c>
      <c r="G7" s="42" t="inlineStr">
        <is>
          <t>High</t>
        </is>
      </c>
      <c r="H7" s="40" t="inlineStr">
        <is>
          <t>PENDING</t>
        </is>
      </c>
      <c r="I7" s="43" t="n"/>
    </row>
    <row r="8" ht="18" customHeight="1">
      <c r="A8" s="36" t="inlineStr">
        <is>
          <t xml:space="preserve">  EMERGENCY TRACKING</t>
        </is>
      </c>
    </row>
    <row r="9" ht="50" customHeight="1">
      <c r="A9" s="37" t="inlineStr">
        <is>
          <t>SOS-05</t>
        </is>
      </c>
      <c r="B9" s="38" t="inlineStr">
        <is>
          <t>FR6.1</t>
        </is>
      </c>
      <c r="C9" s="39" t="inlineStr">
        <is>
          <t>Tracking</t>
        </is>
      </c>
      <c r="D9" s="39" t="inlineStr">
        <is>
          <t>Patient sees live responder location on map after responder accepts</t>
        </is>
      </c>
      <c r="E9" s="39" t="inlineStr">
        <is>
          <t>1. Trigger SOS
2. Accept from a logged-in Responder account
3. Observe patient tracking screen</t>
        </is>
      </c>
      <c r="F9" s="39" t="inlineStr">
        <is>
          <t>Responder pin appears on map; pin updates every few seconds as responder moves</t>
        </is>
      </c>
      <c r="G9" s="38" t="inlineStr">
        <is>
          <t>Critical</t>
        </is>
      </c>
      <c r="H9" s="40" t="inlineStr">
        <is>
          <t>PENDING</t>
        </is>
      </c>
      <c r="I9" s="39" t="n"/>
    </row>
    <row r="10" ht="50" customHeight="1">
      <c r="A10" s="41" t="inlineStr">
        <is>
          <t>SOS-06</t>
        </is>
      </c>
      <c r="B10" s="42" t="inlineStr">
        <is>
          <t>FR6.2</t>
        </is>
      </c>
      <c r="C10" s="43" t="inlineStr">
        <is>
          <t>Tracking</t>
        </is>
      </c>
      <c r="D10" s="43" t="inlineStr">
        <is>
          <t>Status updates (ASSIGNED → EN_ROUTE → ARRIVED) shown on tracking screen</t>
        </is>
      </c>
      <c r="E10" s="43" t="inlineStr">
        <is>
          <t>Trigger SOS → responder accepts → marks En route → Arrived → Resolves</t>
        </is>
      </c>
      <c r="F10" s="43" t="inlineStr">
        <is>
          <t>Tracking screen timeline updates in real time: Assigned → En route → Arrived → Resolved</t>
        </is>
      </c>
      <c r="G10" s="42" t="inlineStr">
        <is>
          <t>Critical</t>
        </is>
      </c>
      <c r="H10" s="40" t="inlineStr">
        <is>
          <t>PENDING</t>
        </is>
      </c>
      <c r="I10" s="43" t="n"/>
    </row>
    <row r="11" ht="50" customHeight="1">
      <c r="A11" s="37" t="inlineStr">
        <is>
          <t>SOS-07</t>
        </is>
      </c>
      <c r="B11" s="38" t="inlineStr">
        <is>
          <t>FR3.1</t>
        </is>
      </c>
      <c r="C11" s="39" t="inlineStr">
        <is>
          <t>Tracking</t>
        </is>
      </c>
      <c r="D11" s="39" t="inlineStr">
        <is>
          <t>Normal patient receives voice status updates (TTS) when voiceGuidance is ON</t>
        </is>
      </c>
      <c r="E11" s="39" t="inlineStr">
        <is>
          <t>1. Enable Voice Guidance in Accessibility Settings
2. Trigger SOS
3. Responder changes status</t>
        </is>
      </c>
      <c r="F11" s="39" t="inlineStr">
        <is>
          <t>TTS speaks "A responder has been assigned and is on the way" and subsequent status messages</t>
        </is>
      </c>
      <c r="G11" s="38" t="inlineStr">
        <is>
          <t>High</t>
        </is>
      </c>
      <c r="H11" s="40" t="inlineStr">
        <is>
          <t>PENDING</t>
        </is>
      </c>
      <c r="I11" s="39" t="n"/>
    </row>
    <row r="12" ht="64" customHeight="1">
      <c r="A12" s="41" t="inlineStr">
        <is>
          <t>SOS-08</t>
        </is>
      </c>
      <c r="B12" s="42" t="inlineStr">
        <is>
          <t>FR3.1</t>
        </is>
      </c>
      <c r="C12" s="43" t="inlineStr">
        <is>
          <t>Tracking</t>
        </is>
      </c>
      <c r="D12" s="43" t="inlineStr">
        <is>
          <t>Deaf patient does NOT receive TTS status updates regardless of settings</t>
        </is>
      </c>
      <c r="E12" s="43" t="inlineStr">
        <is>
          <t>1. Log in as Deaf Patient
2. Trigger SOS
3. Responder changes status
4. Monitor for audio</t>
        </is>
      </c>
      <c r="F12" s="43" t="inlineStr">
        <is>
          <t>No TTS plays; visual status banner updates; vibration fires if enabled</t>
        </is>
      </c>
      <c r="G12" s="42" t="inlineStr">
        <is>
          <t>High</t>
        </is>
      </c>
      <c r="H12" s="40" t="inlineStr">
        <is>
          <t>PENDING</t>
        </is>
      </c>
      <c r="I12" s="43" t="n"/>
    </row>
    <row r="13" ht="50" customHeight="1">
      <c r="A13" s="37" t="inlineStr">
        <is>
          <t>SOS-09</t>
        </is>
      </c>
      <c r="B13" s="38" t="inlineStr">
        <is>
          <t>FR4.6</t>
        </is>
      </c>
      <c r="C13" s="39" t="inlineStr">
        <is>
          <t>Tracking</t>
        </is>
      </c>
      <c r="D13" s="39" t="inlineStr">
        <is>
          <t>Caregiver receives notification when their linked patient triggers SOS</t>
        </is>
      </c>
      <c r="E13" s="39" t="inlineStr">
        <is>
          <t>1. Log in as Caregiver linked to a patient
2. Trigger SOS from patient account
3. Check Caregiver device</t>
        </is>
      </c>
      <c r="F13" s="39" t="inlineStr">
        <is>
          <t>Push notification and in-app alert received by caregiver</t>
        </is>
      </c>
      <c r="G13" s="38" t="inlineStr">
        <is>
          <t>High</t>
        </is>
      </c>
      <c r="H13" s="40" t="inlineStr">
        <is>
          <t>PENDING</t>
        </is>
      </c>
      <c r="I13" s="39" t="n"/>
    </row>
    <row r="14" ht="18" customHeight="1">
      <c r="A14" s="36" t="inlineStr">
        <is>
          <t xml:space="preserve">  ADDED IN v2.0 — SRS GAPS &amp; NEW FEATURES</t>
        </is>
      </c>
    </row>
    <row r="15" ht="64" customHeight="1">
      <c r="A15" s="37" t="inlineStr">
        <is>
          <t>SOS-10</t>
        </is>
      </c>
      <c r="B15" s="38" t="inlineStr">
        <is>
          <t>FR4.4</t>
        </is>
      </c>
      <c r="C15" s="39" t="inlineStr">
        <is>
          <t>SOS Trigger</t>
        </is>
      </c>
      <c r="D15" s="39" t="inlineStr">
        <is>
          <t>Patient selects a medical emergency category</t>
        </is>
      </c>
      <c r="E15" s="39" t="inlineStr">
        <is>
          <t>1. Start SOS
2. Review type options</t>
        </is>
      </c>
      <c r="F15" s="39" t="inlineStr">
        <is>
          <t>Options: Cardiac, Stroke, Breathing, Trauma, Fall, Seizure, Diabetic, Other (medical only); chosen type shown to responder</t>
        </is>
      </c>
      <c r="G15" s="38" t="inlineStr">
        <is>
          <t>High</t>
        </is>
      </c>
      <c r="H15" s="40" t="inlineStr">
        <is>
          <t>PENDING</t>
        </is>
      </c>
      <c r="I15" s="39" t="n"/>
    </row>
    <row r="16" ht="50" customHeight="1">
      <c r="A16" s="41" t="inlineStr">
        <is>
          <t>SOS-11</t>
        </is>
      </c>
      <c r="B16" s="42" t="inlineStr">
        <is>
          <t>FR6.2</t>
        </is>
      </c>
      <c r="C16" s="43" t="inlineStr">
        <is>
          <t>Tracking</t>
        </is>
      </c>
      <c r="D16" s="43" t="inlineStr">
        <is>
          <t>Patient sees responder ETA that updates while the responder moves</t>
        </is>
      </c>
      <c r="E16" s="43" t="inlineStr">
        <is>
          <t>1. Responder accepts and drives toward patient</t>
        </is>
      </c>
      <c r="F16" s="43" t="inlineStr">
        <is>
          <t>ETA (minutes) visible on tracking screen and decreases as responder approaches</t>
        </is>
      </c>
      <c r="G16" s="42" t="inlineStr">
        <is>
          <t>High</t>
        </is>
      </c>
      <c r="H16" s="40" t="inlineStr">
        <is>
          <t>PENDING</t>
        </is>
      </c>
      <c r="I16" s="43" t="n"/>
    </row>
    <row r="17" ht="40" customHeight="1">
      <c r="A17" s="37" t="inlineStr">
        <is>
          <t>SOS-12</t>
        </is>
      </c>
      <c r="B17" s="38" t="inlineStr">
        <is>
          <t>FR4.1</t>
        </is>
      </c>
      <c r="C17" s="39" t="inlineStr">
        <is>
          <t>SOS Trigger</t>
        </is>
      </c>
      <c r="D17" s="39" t="inlineStr">
        <is>
          <t>A quick accidental tap on SOS does not start an emergency</t>
        </is>
      </c>
      <c r="E17" s="39" t="inlineStr">
        <is>
          <t>1. Tap SOS briefly (&lt; 1 s)</t>
        </is>
      </c>
      <c r="F17" s="39" t="inlineStr">
        <is>
          <t>No countdown starts; hint "Press and hold to send SOS" shown</t>
        </is>
      </c>
      <c r="G17" s="38" t="inlineStr">
        <is>
          <t>Critical</t>
        </is>
      </c>
      <c r="H17" s="40" t="inlineStr">
        <is>
          <t>PENDING</t>
        </is>
      </c>
      <c r="I17" s="39" t="n"/>
    </row>
    <row r="18" ht="50" customHeight="1">
      <c r="A18" s="41" t="inlineStr">
        <is>
          <t>SOS-13</t>
        </is>
      </c>
      <c r="B18" s="42" t="inlineStr">
        <is>
          <t>FR4.5</t>
        </is>
      </c>
      <c r="C18" s="43" t="inlineStr">
        <is>
          <t>SOS Trigger</t>
        </is>
      </c>
      <c r="D18" s="43" t="inlineStr">
        <is>
          <t>A second SOS while one is open returns the existing emergency (no duplicate dispatch)</t>
        </is>
      </c>
      <c r="E18" s="43" t="inlineStr">
        <is>
          <t>1. Send SOS
2. Send SOS again before it closes</t>
        </is>
      </c>
      <c r="F18" s="43" t="inlineStr">
        <is>
          <t>HTTP 200 with alreadyActive = true and the same emergency id; responders are not notified twice</t>
        </is>
      </c>
      <c r="G18" s="42" t="inlineStr">
        <is>
          <t>High</t>
        </is>
      </c>
      <c r="H18" s="45" t="inlineStr">
        <is>
          <t>PASS</t>
        </is>
      </c>
      <c r="I18" s="43" t="inlineStr">
        <is>
          <t>2026-09-17: second SOS returned the same emergency id (alreadyActive), no second dispatch</t>
        </is>
      </c>
    </row>
    <row r="19" ht="50" customHeight="1">
      <c r="A19" s="37" t="inlineStr">
        <is>
          <t>SOS-14</t>
        </is>
      </c>
      <c r="B19" s="38" t="inlineStr">
        <is>
          <t>FR4.3</t>
        </is>
      </c>
      <c r="C19" s="39" t="inlineStr">
        <is>
          <t>Cancellation</t>
        </is>
      </c>
      <c r="D19" s="39" t="inlineStr">
        <is>
          <t>After sending, the patient can still cancel within the server cancellation window</t>
        </is>
      </c>
      <c r="E19" s="39" t="inlineStr">
        <is>
          <t>1. Let countdown finish (SOS sent)
2. Tap Cancel on searching screen before a responder accepts</t>
        </is>
      </c>
      <c r="F19" s="39" t="inlineStr">
        <is>
          <t>Emergency CANCELLED; notified responders see the alert removed; not counted as a false alarm</t>
        </is>
      </c>
      <c r="G19" s="38" t="inlineStr">
        <is>
          <t>High</t>
        </is>
      </c>
      <c r="H19" s="40" t="inlineStr">
        <is>
          <t>PENDING</t>
        </is>
      </c>
      <c r="I19" s="39" t="n"/>
    </row>
    <row r="20" ht="40" customHeight="1">
      <c r="A20" s="41" t="inlineStr">
        <is>
          <t>SOS-15</t>
        </is>
      </c>
      <c r="B20" s="46" t="inlineStr">
        <is>
          <t>Beyond SRS</t>
        </is>
      </c>
      <c r="C20" s="43" t="inlineStr">
        <is>
          <t>Offline</t>
        </is>
      </c>
      <c r="D20" s="43" t="inlineStr">
        <is>
          <t>Offline patient can still call or SMS Rescue 1122</t>
        </is>
      </c>
      <c r="E20" s="43" t="inlineStr">
        <is>
          <t>1. Turn off internet
2. Open SOS</t>
        </is>
      </c>
      <c r="F20" s="43" t="inlineStr">
        <is>
          <t>Non-blocking offline banner with working Call 1122 and SMS 1122 buttons</t>
        </is>
      </c>
      <c r="G20" s="42" t="inlineStr">
        <is>
          <t>High</t>
        </is>
      </c>
      <c r="H20" s="40" t="inlineStr">
        <is>
          <t>PENDING</t>
        </is>
      </c>
      <c r="I20" s="43" t="n"/>
    </row>
    <row r="21" ht="50" customHeight="1">
      <c r="A21" s="37" t="inlineStr">
        <is>
          <t>SOS-16</t>
        </is>
      </c>
      <c r="B21" s="44" t="inlineStr">
        <is>
          <t>Beyond SRS</t>
        </is>
      </c>
      <c r="C21" s="39" t="inlineStr">
        <is>
          <t>Rating</t>
        </is>
      </c>
      <c r="D21" s="39" t="inlineStr">
        <is>
          <t>Patient rates the responder after resolution (once)</t>
        </is>
      </c>
      <c r="E21" s="39" t="inlineStr">
        <is>
          <t>1. Emergency resolved
2. Give 5 stars
3. Try to rate again</t>
        </is>
      </c>
      <c r="F21" s="39" t="inlineStr">
        <is>
          <t>Rating saved and responder average updated; second rating rejected</t>
        </is>
      </c>
      <c r="G21" s="38" t="inlineStr">
        <is>
          <t>Medium</t>
        </is>
      </c>
      <c r="H21" s="40" t="inlineStr">
        <is>
          <t>PENDING</t>
        </is>
      </c>
      <c r="I21" s="39" t="n"/>
    </row>
  </sheetData>
  <mergeCells count="4">
    <mergeCell ref="A1:I1"/>
    <mergeCell ref="A14:I14"/>
    <mergeCell ref="A8:I8"/>
    <mergeCell ref="A3:I3"/>
  </mergeCells>
  <conditionalFormatting sqref="H4:H21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21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SECURITY_SOS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FALSE SOS PREVENTION</t>
        </is>
      </c>
    </row>
    <row r="4" ht="50" customHeight="1">
      <c r="A4" s="37" t="inlineStr">
        <is>
          <t>SEC-01</t>
        </is>
      </c>
      <c r="B4" s="38" t="inlineStr">
        <is>
          <t>FR4.1</t>
        </is>
      </c>
      <c r="C4" s="39" t="inlineStr">
        <is>
          <t>Trigger</t>
        </is>
      </c>
      <c r="D4" s="39" t="inlineStr">
        <is>
          <t>SOS requires press-and-hold before it starts</t>
        </is>
      </c>
      <c r="E4" s="39" t="inlineStr">
        <is>
          <t>1. Tap SOS
2. Hold SOS for 2 s</t>
        </is>
      </c>
      <c r="F4" s="39" t="inlineStr">
        <is>
          <t>Tap: nothing sent, hint shown. Hold: countdown starts with progress ring and vibration</t>
        </is>
      </c>
      <c r="G4" s="38" t="inlineStr">
        <is>
          <t>Critical</t>
        </is>
      </c>
      <c r="H4" s="40" t="inlineStr">
        <is>
          <t>PENDING</t>
        </is>
      </c>
      <c r="I4" s="39" t="n"/>
    </row>
    <row r="5" ht="40" customHeight="1">
      <c r="A5" s="41" t="inlineStr">
        <is>
          <t>SEC-02</t>
        </is>
      </c>
      <c r="B5" s="42" t="inlineStr">
        <is>
          <t>FR4.3</t>
        </is>
      </c>
      <c r="C5" s="43" t="inlineStr">
        <is>
          <t>Countdown</t>
        </is>
      </c>
      <c r="D5" s="43" t="inlineStr">
        <is>
          <t>Cancelling during the 60-second countdown sends nothing to the server</t>
        </is>
      </c>
      <c r="E5" s="43" t="inlineStr">
        <is>
          <t>Start SOS and cancel at 30 s</t>
        </is>
      </c>
      <c r="F5" s="43" t="inlineStr">
        <is>
          <t>No emergency record, no notifications</t>
        </is>
      </c>
      <c r="G5" s="42" t="inlineStr">
        <is>
          <t>Critical</t>
        </is>
      </c>
      <c r="H5" s="45" t="inlineStr">
        <is>
          <t>PASS</t>
        </is>
      </c>
      <c r="I5" s="43" t="inlineStr">
        <is>
          <t>2026-09-17: cancelling in the countdown created 0 emergency rows and 0 notifications (API/DB check)</t>
        </is>
      </c>
    </row>
    <row r="6" ht="40" customHeight="1">
      <c r="A6" s="37" t="inlineStr">
        <is>
          <t>SEC-03</t>
        </is>
      </c>
      <c r="B6" s="38" t="inlineStr">
        <is>
          <t>FR4.2</t>
        </is>
      </c>
      <c r="C6" s="39" t="inlineStr">
        <is>
          <t>Location</t>
        </is>
      </c>
      <c r="D6" s="39" t="inlineStr">
        <is>
          <t>SOS from a mock (fake) GPS location is refused in production</t>
        </is>
      </c>
      <c r="E6" s="39" t="inlineStr">
        <is>
          <t>Enable a mock location app and send SOS (production build)</t>
        </is>
      </c>
      <c r="F6" s="39" t="inlineStr">
        <is>
          <t>HTTP 422 "fake (mock) GPS location" with Call 1122 advice; no dispatch</t>
        </is>
      </c>
      <c r="G6" s="38" t="inlineStr">
        <is>
          <t>Critical</t>
        </is>
      </c>
      <c r="H6" s="40" t="inlineStr">
        <is>
          <t>PENDING</t>
        </is>
      </c>
      <c r="I6" s="39" t="n"/>
    </row>
    <row r="7" ht="40" customHeight="1">
      <c r="A7" s="41" t="inlineStr">
        <is>
          <t>SEC-04</t>
        </is>
      </c>
      <c r="B7" s="42" t="inlineStr">
        <is>
          <t>FR4.5</t>
        </is>
      </c>
      <c r="C7" s="43" t="inlineStr">
        <is>
          <t>Rate limit</t>
        </is>
      </c>
      <c r="D7" s="43" t="inlineStr">
        <is>
          <t>More than 5 SOS in one hour is refused</t>
        </is>
      </c>
      <c r="E7" s="43" t="inlineStr">
        <is>
          <t>Send and cancel SOS 5 times, then send a 6th</t>
        </is>
      </c>
      <c r="F7" s="43" t="inlineStr">
        <is>
          <t>6th request: HTTP 429 "Too many SOS requests" with Call 1122 advice</t>
        </is>
      </c>
      <c r="G7" s="42" t="inlineStr">
        <is>
          <t>High</t>
        </is>
      </c>
      <c r="H7" s="45" t="inlineStr">
        <is>
          <t>PASS</t>
        </is>
      </c>
      <c r="I7" s="43" t="inlineStr">
        <is>
          <t>2026-09-17: 6th SOS within an hour returned HTTP 429 with Call 1122 advice</t>
        </is>
      </c>
    </row>
    <row r="8" ht="40" customHeight="1">
      <c r="A8" s="37" t="inlineStr">
        <is>
          <t>SEC-05</t>
        </is>
      </c>
      <c r="B8" s="38" t="inlineStr">
        <is>
          <t>FR4.2</t>
        </is>
      </c>
      <c r="C8" s="39" t="inlineStr">
        <is>
          <t>Location</t>
        </is>
      </c>
      <c r="D8" s="39" t="inlineStr">
        <is>
          <t>SOS outside Pakistan coordinates is refused</t>
        </is>
      </c>
      <c r="E8" s="39" t="inlineStr">
        <is>
          <t>POST /api/emergencies with Dubai coordinates</t>
        </is>
      </c>
      <c r="F8" s="39" t="inlineStr">
        <is>
          <t>HTTP 400 with coordinate error</t>
        </is>
      </c>
      <c r="G8" s="38" t="inlineStr">
        <is>
          <t>Medium</t>
        </is>
      </c>
      <c r="H8" s="45" t="inlineStr">
        <is>
          <t>PASS</t>
        </is>
      </c>
      <c r="I8" s="39" t="inlineStr">
        <is>
          <t>2026-09-17: SOS with coordinates outside Pakistan returned HTTP 400</t>
        </is>
      </c>
    </row>
    <row r="9" ht="18" customHeight="1">
      <c r="A9" s="36" t="inlineStr">
        <is>
          <t xml:space="preserve">  FALSE ALARM HANDLING</t>
        </is>
      </c>
    </row>
    <row r="10" ht="50" customHeight="1">
      <c r="A10" s="37" t="inlineStr">
        <is>
          <t>SEC-06</t>
        </is>
      </c>
      <c r="B10" s="38" t="inlineStr">
        <is>
          <t>FR6.2</t>
        </is>
      </c>
      <c r="C10" s="39" t="inlineStr">
        <is>
          <t>Resolve</t>
        </is>
      </c>
      <c r="D10" s="39" t="inlineStr">
        <is>
          <t>Responder must add a note when closing as False alarm or Patient not found</t>
        </is>
      </c>
      <c r="E10" s="39" t="inlineStr">
        <is>
          <t>Resolve with outcome FALSE_ALARM and empty note</t>
        </is>
      </c>
      <c r="F10" s="39" t="inlineStr">
        <is>
          <t>HTTP 400 "Please add a short note"; with a note the emergency closes with outcome saved</t>
        </is>
      </c>
      <c r="G10" s="38" t="inlineStr">
        <is>
          <t>High</t>
        </is>
      </c>
      <c r="H10" s="40" t="inlineStr">
        <is>
          <t>PENDING</t>
        </is>
      </c>
      <c r="I10" s="39" t="n"/>
    </row>
    <row r="11" ht="40" customHeight="1">
      <c r="A11" s="41" t="inlineStr">
        <is>
          <t>SEC-07</t>
        </is>
      </c>
      <c r="B11" s="46" t="inlineStr">
        <is>
          <t>Beyond SRS</t>
        </is>
      </c>
      <c r="C11" s="43" t="inlineStr">
        <is>
          <t>Warning</t>
        </is>
      </c>
      <c r="D11" s="43" t="inlineStr">
        <is>
          <t>Patient is warned when an SOS is marked as a false alarm</t>
        </is>
      </c>
      <c r="E11" s="43" t="inlineStr">
        <is>
          <t>Responder resolves as FALSE_ALARM</t>
        </is>
      </c>
      <c r="F11" s="43" t="inlineStr">
        <is>
          <t>Patient receives "SOS marked as false alarm" notification</t>
        </is>
      </c>
      <c r="G11" s="42" t="inlineStr">
        <is>
          <t>High</t>
        </is>
      </c>
      <c r="H11" s="40" t="inlineStr">
        <is>
          <t>PENDING</t>
        </is>
      </c>
      <c r="I11" s="43" t="n"/>
    </row>
    <row r="12" ht="50" customHeight="1">
      <c r="A12" s="37" t="inlineStr">
        <is>
          <t>SEC-08</t>
        </is>
      </c>
      <c r="B12" s="44" t="inlineStr">
        <is>
          <t>Beyond SRS</t>
        </is>
      </c>
      <c r="C12" s="39" t="inlineStr">
        <is>
          <t>Review</t>
        </is>
      </c>
      <c r="D12" s="39" t="inlineStr">
        <is>
          <t>3 false alarms in 30 days alerts admins for review</t>
        </is>
      </c>
      <c r="E12" s="39" t="inlineStr">
        <is>
          <t>Mark 3 SOS from the same patient as FALSE_ALARM</t>
        </is>
      </c>
      <c r="F12" s="39" t="inlineStr">
        <is>
          <t>Admins receive "Patient flagged for repeated false SOS"; admin user profile shows the count</t>
        </is>
      </c>
      <c r="G12" s="38" t="inlineStr">
        <is>
          <t>High</t>
        </is>
      </c>
      <c r="H12" s="40" t="inlineStr">
        <is>
          <t>PENDING</t>
        </is>
      </c>
      <c r="I12" s="39" t="n"/>
    </row>
    <row r="13" ht="40" customHeight="1">
      <c r="A13" s="41" t="inlineStr">
        <is>
          <t>SEC-09</t>
        </is>
      </c>
      <c r="B13" s="46" t="inlineStr">
        <is>
          <t>Beyond SRS</t>
        </is>
      </c>
      <c r="C13" s="43" t="inlineStr">
        <is>
          <t>Fairness</t>
        </is>
      </c>
      <c r="D13" s="43" t="inlineStr">
        <is>
          <t>Patient-cancelled SOS never counts as a false alarm</t>
        </is>
      </c>
      <c r="E13" s="43" t="inlineStr">
        <is>
          <t>Cancel 3 SOS within the window</t>
        </is>
      </c>
      <c r="F13" s="43" t="inlineStr">
        <is>
          <t>False alarm count stays 0; no admin alert</t>
        </is>
      </c>
      <c r="G13" s="42" t="inlineStr">
        <is>
          <t>Medium</t>
        </is>
      </c>
      <c r="H13" s="40" t="inlineStr">
        <is>
          <t>PENDING</t>
        </is>
      </c>
      <c r="I13" s="43" t="n"/>
    </row>
    <row r="14" ht="18" customHeight="1">
      <c r="A14" s="36" t="inlineStr">
        <is>
          <t xml:space="preserve">  PLATFORM SECURITY</t>
        </is>
      </c>
    </row>
    <row r="15" ht="40" customHeight="1">
      <c r="A15" s="37" t="inlineStr">
        <is>
          <t>SEC-10</t>
        </is>
      </c>
      <c r="B15" s="38" t="inlineStr">
        <is>
          <t>FR1.6</t>
        </is>
      </c>
      <c r="C15" s="39" t="inlineStr">
        <is>
          <t>Tokens</t>
        </is>
      </c>
      <c r="D15" s="39" t="inlineStr">
        <is>
          <t>Refresh token cannot be used as an access token</t>
        </is>
      </c>
      <c r="E15" s="39" t="inlineStr">
        <is>
          <t>Call a protected API with the refresh token as Bearer</t>
        </is>
      </c>
      <c r="F15" s="39" t="inlineStr">
        <is>
          <t>HTTP 401</t>
        </is>
      </c>
      <c r="G15" s="38" t="inlineStr">
        <is>
          <t>Critical</t>
        </is>
      </c>
      <c r="H15" s="40" t="inlineStr">
        <is>
          <t>PENDING</t>
        </is>
      </c>
      <c r="I15" s="39" t="n"/>
    </row>
    <row r="16" ht="40" customHeight="1">
      <c r="A16" s="41" t="inlineStr">
        <is>
          <t>SEC-11</t>
        </is>
      </c>
      <c r="B16" s="42" t="inlineStr">
        <is>
          <t>FR1.6</t>
        </is>
      </c>
      <c r="C16" s="43" t="inlineStr">
        <is>
          <t>Sockets</t>
        </is>
      </c>
      <c r="D16" s="43" t="inlineStr">
        <is>
          <t>Users cannot join emergency or chat rooms they do not belong to</t>
        </is>
      </c>
      <c r="E16" s="43" t="inlineStr">
        <is>
          <t>Emit join:emergency / join:chat for another user's ids</t>
        </is>
      </c>
      <c r="F16" s="43" t="inlineStr">
        <is>
          <t>Join refused; no events received</t>
        </is>
      </c>
      <c r="G16" s="42" t="inlineStr">
        <is>
          <t>Critical</t>
        </is>
      </c>
      <c r="H16" s="40" t="inlineStr">
        <is>
          <t>PENDING</t>
        </is>
      </c>
      <c r="I16" s="43" t="n"/>
    </row>
    <row r="17" ht="40" customHeight="1">
      <c r="A17" s="37" t="inlineStr">
        <is>
          <t>SEC-12</t>
        </is>
      </c>
      <c r="B17" s="44" t="inlineStr">
        <is>
          <t>Beyond SRS</t>
        </is>
      </c>
      <c r="C17" s="39" t="inlineStr">
        <is>
          <t>Payments</t>
        </is>
      </c>
      <c r="D17" s="39" t="inlineStr">
        <is>
          <t>Paid plan upgrade requires a verified Stripe payment</t>
        </is>
      </c>
      <c r="E17" s="39" t="inlineStr">
        <is>
          <t>PATCH /api/users/upgrade {plan: EXECUTIVE} without paymentIntentId</t>
        </is>
      </c>
      <c r="F17" s="39" t="inlineStr">
        <is>
          <t>HTTP 402; plan unchanged</t>
        </is>
      </c>
      <c r="G17" s="38" t="inlineStr">
        <is>
          <t>High</t>
        </is>
      </c>
      <c r="H17" s="40" t="inlineStr">
        <is>
          <t>PENDING</t>
        </is>
      </c>
      <c r="I17" s="39" t="n"/>
    </row>
    <row r="18" ht="40" customHeight="1">
      <c r="A18" s="41" t="inlineStr">
        <is>
          <t>SEC-13</t>
        </is>
      </c>
      <c r="B18" s="42" t="inlineStr">
        <is>
          <t>FR5.1</t>
        </is>
      </c>
      <c r="C18" s="43" t="inlineStr">
        <is>
          <t>Emergency</t>
        </is>
      </c>
      <c r="D18" s="43" t="inlineStr">
        <is>
          <t>Only the assigned responder can update or resolve an emergency</t>
        </is>
      </c>
      <c r="E18" s="43" t="inlineStr">
        <is>
          <t>Another responder calls status/resolve</t>
        </is>
      </c>
      <c r="F18" s="43" t="inlineStr">
        <is>
          <t>HTTP 403 / 400; emergency unchanged</t>
        </is>
      </c>
      <c r="G18" s="42" t="inlineStr">
        <is>
          <t>Critical</t>
        </is>
      </c>
      <c r="H18" s="40" t="inlineStr">
        <is>
          <t>PENDING</t>
        </is>
      </c>
      <c r="I18" s="43" t="n"/>
    </row>
  </sheetData>
  <mergeCells count="4">
    <mergeCell ref="A1:I1"/>
    <mergeCell ref="A9:I9"/>
    <mergeCell ref="A14:I14"/>
    <mergeCell ref="A3:I3"/>
  </mergeCells>
  <conditionalFormatting sqref="H4:H18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18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RESPONDER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INCOMING EMERGENCY ALERTS</t>
        </is>
      </c>
    </row>
    <row r="4" ht="50" customHeight="1">
      <c r="A4" s="37" t="inlineStr">
        <is>
          <t>RSP-01</t>
        </is>
      </c>
      <c r="B4" s="38" t="inlineStr">
        <is>
          <t>FR4.5</t>
        </is>
      </c>
      <c r="C4" s="39" t="inlineStr">
        <is>
          <t>Alert Receipt</t>
        </is>
      </c>
      <c r="D4" s="39" t="inlineStr">
        <is>
          <t>Verified, available responder within 10 km receives the SOS alert in real time</t>
        </is>
      </c>
      <c r="E4" s="39" t="inlineStr">
        <is>
          <t>1. Responder online (availability ON)
2. Patient within 10 km sends SOS</t>
        </is>
      </c>
      <c r="F4" s="39" t="inlineStr">
        <is>
          <t>Alert card on Responder home and a push notification (even when the app is closed) within ~2 s</t>
        </is>
      </c>
      <c r="G4" s="38" t="inlineStr">
        <is>
          <t>Critical</t>
        </is>
      </c>
      <c r="H4" s="40" t="inlineStr">
        <is>
          <t>PENDING</t>
        </is>
      </c>
      <c r="I4" s="39" t="n"/>
    </row>
    <row r="5" ht="50" customHeight="1">
      <c r="A5" s="41" t="inlineStr">
        <is>
          <t>RSP-02</t>
        </is>
      </c>
      <c r="B5" s="42" t="inlineStr">
        <is>
          <t>FR2.5, FR4.5</t>
        </is>
      </c>
      <c r="C5" s="43" t="inlineStr">
        <is>
          <t>Alert Receipt</t>
        </is>
      </c>
      <c r="D5" s="43" t="inlineStr">
        <is>
          <t>Alert shows patient name, emergency type, distance, ETA, DEAF badge and key medical flags</t>
        </is>
      </c>
      <c r="E5" s="43" t="inlineStr">
        <is>
          <t>1. Receive emergency alert
2. Inspect alert card</t>
        </is>
      </c>
      <c r="F5" s="43" t="inlineStr">
        <is>
          <t>Card shows name, type, distance (km), ETA, DEAF badge if applicable, blood group/allergy badges</t>
        </is>
      </c>
      <c r="G5" s="42" t="inlineStr">
        <is>
          <t>High</t>
        </is>
      </c>
      <c r="H5" s="40" t="inlineStr">
        <is>
          <t>PENDING</t>
        </is>
      </c>
      <c r="I5" s="43" t="n"/>
    </row>
    <row r="6" ht="40" customHeight="1">
      <c r="A6" s="37" t="inlineStr">
        <is>
          <t>RSP-03</t>
        </is>
      </c>
      <c r="B6" s="38" t="inlineStr">
        <is>
          <t>FR4.5, FR9.4</t>
        </is>
      </c>
      <c r="C6" s="39" t="inlineStr">
        <is>
          <t>Alert Receipt</t>
        </is>
      </c>
      <c r="D6" s="39" t="inlineStr">
        <is>
          <t>Unverified responder does NOT receive emergency alerts</t>
        </is>
      </c>
      <c r="E6" s="39" t="inlineStr">
        <is>
          <t>1. Log in as PENDING/unverified Responder
2. Trigger SOS from patient</t>
        </is>
      </c>
      <c r="F6" s="39" t="inlineStr">
        <is>
          <t>No alert received; unverified responder not included in dispatch</t>
        </is>
      </c>
      <c r="G6" s="38" t="inlineStr">
        <is>
          <t>High</t>
        </is>
      </c>
      <c r="H6" s="40" t="inlineStr">
        <is>
          <t>PENDING</t>
        </is>
      </c>
      <c r="I6" s="39" t="n"/>
    </row>
    <row r="7" ht="18" customHeight="1">
      <c r="A7" s="36" t="inlineStr">
        <is>
          <t xml:space="preserve">  ACCEPT / REJECT</t>
        </is>
      </c>
    </row>
    <row r="8" ht="50" customHeight="1">
      <c r="A8" s="37" t="inlineStr">
        <is>
          <t>RSP-04</t>
        </is>
      </c>
      <c r="B8" s="38" t="inlineStr">
        <is>
          <t>FR5.1</t>
        </is>
      </c>
      <c r="C8" s="39" t="inlineStr">
        <is>
          <t>Accept</t>
        </is>
      </c>
      <c r="D8" s="39" t="inlineStr">
        <is>
          <t>Responder can accept emergency; patient tracking screen reflects ASSIGNED status</t>
        </is>
      </c>
      <c r="E8" s="39" t="inlineStr">
        <is>
          <t>1. Receive alert
2. Tap Accept
3. Check patient tracking screen</t>
        </is>
      </c>
      <c r="F8" s="39" t="inlineStr">
        <is>
          <t>Status changes to ASSIGNED on patient screen; responder enters Active Emergency screen</t>
        </is>
      </c>
      <c r="G8" s="38" t="inlineStr">
        <is>
          <t>Critical</t>
        </is>
      </c>
      <c r="H8" s="40" t="inlineStr">
        <is>
          <t>PENDING</t>
        </is>
      </c>
      <c r="I8" s="39" t="n"/>
    </row>
    <row r="9" ht="64" customHeight="1">
      <c r="A9" s="41" t="inlineStr">
        <is>
          <t>RSP-05</t>
        </is>
      </c>
      <c r="B9" s="42" t="inlineStr">
        <is>
          <t>FR5.2, FR5.3</t>
        </is>
      </c>
      <c r="C9" s="43" t="inlineStr">
        <is>
          <t>Accept</t>
        </is>
      </c>
      <c r="D9" s="43" t="inlineStr">
        <is>
          <t>On accept, Voice Alert auto-plays patient details if voiceGuidanceEnabled is ON</t>
        </is>
      </c>
      <c r="E9" s="43" t="inlineStr">
        <is>
          <t>1. Enable Hands-Free Voice Alerts in Accessibility Settings
2. Accept emergency</t>
        </is>
      </c>
      <c r="F9" s="43" t="inlineStr">
        <is>
          <t>TTS reads emergency type, location, allergies, blood group and the DEAF flag ("patient is deaf — communicate by text")</t>
        </is>
      </c>
      <c r="G9" s="42" t="inlineStr">
        <is>
          <t>High</t>
        </is>
      </c>
      <c r="H9" s="40" t="inlineStr">
        <is>
          <t>PENDING</t>
        </is>
      </c>
      <c r="I9" s="43" t="n"/>
    </row>
    <row r="10" ht="50" customHeight="1">
      <c r="A10" s="37" t="inlineStr">
        <is>
          <t>RSP-06</t>
        </is>
      </c>
      <c r="B10" s="38" t="inlineStr">
        <is>
          <t>FR5.2</t>
        </is>
      </c>
      <c r="C10" s="39" t="inlineStr">
        <is>
          <t>Accept</t>
        </is>
      </c>
      <c r="D10" s="39" t="inlineStr">
        <is>
          <t>On accept, NO auto-play voice if voiceGuidanceEnabled is OFF</t>
        </is>
      </c>
      <c r="E10" s="39" t="inlineStr">
        <is>
          <t>1. Disable Hands-Free Voice Alerts
2. Accept emergency</t>
        </is>
      </c>
      <c r="F10" s="39" t="inlineStr">
        <is>
          <t>No TTS plays automatically; manual "Play Voice Alert" button still works</t>
        </is>
      </c>
      <c r="G10" s="38" t="inlineStr">
        <is>
          <t>High</t>
        </is>
      </c>
      <c r="H10" s="40" t="inlineStr">
        <is>
          <t>PENDING</t>
        </is>
      </c>
      <c r="I10" s="39" t="n"/>
    </row>
    <row r="11" ht="64" customHeight="1">
      <c r="A11" s="41" t="inlineStr">
        <is>
          <t>RSP-07</t>
        </is>
      </c>
      <c r="B11" s="42" t="inlineStr">
        <is>
          <t>FR4.5</t>
        </is>
      </c>
      <c r="C11" s="43" t="inlineStr">
        <is>
          <t>Reject</t>
        </is>
      </c>
      <c r="D11" s="43" t="inlineStr">
        <is>
          <t>Responder can reject; the SOS remains available to other notified responders and is re-dispatched if nobody accepts</t>
        </is>
      </c>
      <c r="E11" s="43" t="inlineStr">
        <is>
          <t>1. Two responders receive the same SOS
2. Responder A rejects
3. Wait 60 s without any accept</t>
        </is>
      </c>
      <c r="F11" s="43" t="inlineStr">
        <is>
          <t>Alert removed only for A; B can still accept; after 60 s without accept the SOS is re-dispatched and admin receives an escalation alert</t>
        </is>
      </c>
      <c r="G11" s="42" t="inlineStr">
        <is>
          <t>Medium</t>
        </is>
      </c>
      <c r="H11" s="40" t="inlineStr">
        <is>
          <t>PENDING</t>
        </is>
      </c>
      <c r="I11" s="43" t="n"/>
    </row>
    <row r="12" ht="18" customHeight="1">
      <c r="A12" s="36" t="inlineStr">
        <is>
          <t xml:space="preserve">  STATUS UPDATES</t>
        </is>
      </c>
    </row>
    <row r="13" ht="50" customHeight="1">
      <c r="A13" s="37" t="inlineStr">
        <is>
          <t>RSP-08</t>
        </is>
      </c>
      <c r="B13" s="38" t="inlineStr">
        <is>
          <t>FR6.1, FR6.2</t>
        </is>
      </c>
      <c r="C13" s="39" t="inlineStr">
        <is>
          <t>Status</t>
        </is>
      </c>
      <c r="D13" s="39" t="inlineStr">
        <is>
          <t>Responder can mark EN_ROUTE; patient sees update</t>
        </is>
      </c>
      <c r="E13" s="39" t="inlineStr">
        <is>
          <t>1. Accept emergency
2. Tap "On the Way"
3. Check patient screen</t>
        </is>
      </c>
      <c r="F13" s="39" t="inlineStr">
        <is>
          <t>Patient tracking screen shows EN_ROUTE status</t>
        </is>
      </c>
      <c r="G13" s="38" t="inlineStr">
        <is>
          <t>Critical</t>
        </is>
      </c>
      <c r="H13" s="40" t="inlineStr">
        <is>
          <t>PENDING</t>
        </is>
      </c>
      <c r="I13" s="39" t="n"/>
    </row>
    <row r="14" ht="64" customHeight="1">
      <c r="A14" s="41" t="inlineStr">
        <is>
          <t>RSP-09</t>
        </is>
      </c>
      <c r="B14" s="42" t="inlineStr">
        <is>
          <t>FR6.2</t>
        </is>
      </c>
      <c r="C14" s="43" t="inlineStr">
        <is>
          <t>Status</t>
        </is>
      </c>
      <c r="D14" s="43" t="inlineStr">
        <is>
          <t>Responder marks ARRIVED; patient and caregivers are notified; the emergency stays open until the responder resolves it</t>
        </is>
      </c>
      <c r="E14" s="43" t="inlineStr">
        <is>
          <t>1. Accept SOS
2. Mark En route → Arrived</t>
        </is>
      </c>
      <c r="F14" s="43" t="inlineStr">
        <is>
          <t>Patient sees "Help has arrived"; caregivers get an update (not a new SOS alert); status ARRIVED until Resolve</t>
        </is>
      </c>
      <c r="G14" s="42" t="inlineStr">
        <is>
          <t>Critical</t>
        </is>
      </c>
      <c r="H14" s="40" t="inlineStr">
        <is>
          <t>PENDING</t>
        </is>
      </c>
      <c r="I14" s="43" t="n"/>
    </row>
    <row r="15" ht="18" customHeight="1">
      <c r="A15" s="36" t="inlineStr">
        <is>
          <t xml:space="preserve">  ADDED IN v2.0 — SRS GAPS &amp; NEW FEATURES</t>
        </is>
      </c>
    </row>
    <row r="16" ht="50" customHeight="1">
      <c r="A16" s="37" t="inlineStr">
        <is>
          <t>RSP-10</t>
        </is>
      </c>
      <c r="B16" s="38" t="inlineStr">
        <is>
          <t>FR6.2</t>
        </is>
      </c>
      <c r="C16" s="39" t="inlineStr">
        <is>
          <t>Status</t>
        </is>
      </c>
      <c r="D16" s="39" t="inlineStr">
        <is>
          <t>Responder resolves the emergency with an outcome</t>
        </is>
      </c>
      <c r="E16" s="39" t="inlineStr">
        <is>
          <t>1. After arrival tap Resolve
2. Choose Treated on site</t>
        </is>
      </c>
      <c r="F16" s="39" t="inlineStr">
        <is>
          <t>Emergency RESOLVED with outcome saved; responder becomes available; patient asked to rate</t>
        </is>
      </c>
      <c r="G16" s="38" t="inlineStr">
        <is>
          <t>Critical</t>
        </is>
      </c>
      <c r="H16" s="40" t="inlineStr">
        <is>
          <t>PENDING</t>
        </is>
      </c>
      <c r="I16" s="39" t="n"/>
    </row>
    <row r="17" ht="50" customHeight="1">
      <c r="A17" s="41" t="inlineStr">
        <is>
          <t>RSP-11</t>
        </is>
      </c>
      <c r="B17" s="42" t="inlineStr">
        <is>
          <t>FR5.1</t>
        </is>
      </c>
      <c r="C17" s="43" t="inlineStr">
        <is>
          <t>Accept</t>
        </is>
      </c>
      <c r="D17" s="43" t="inlineStr">
        <is>
          <t>Only one of two simultaneous accepts succeeds</t>
        </is>
      </c>
      <c r="E17" s="43" t="inlineStr">
        <is>
          <t>1. Two responders tap Accept at the same moment</t>
        </is>
      </c>
      <c r="F17" s="43" t="inlineStr">
        <is>
          <t>One responder enters Active Emergency; the other sees "already assigned" and the alert disappears</t>
        </is>
      </c>
      <c r="G17" s="42" t="inlineStr">
        <is>
          <t>Critical</t>
        </is>
      </c>
      <c r="H17" s="40" t="inlineStr">
        <is>
          <t>PENDING</t>
        </is>
      </c>
      <c r="I17" s="43" t="n"/>
    </row>
    <row r="18" ht="50" customHeight="1">
      <c r="A18" s="37" t="inlineStr">
        <is>
          <t>RSP-12</t>
        </is>
      </c>
      <c r="B18" s="38" t="inlineStr">
        <is>
          <t>FR5.4</t>
        </is>
      </c>
      <c r="C18" s="39" t="inlineStr">
        <is>
          <t>Availability</t>
        </is>
      </c>
      <c r="D18" s="39" t="inlineStr">
        <is>
          <t>Offline responders are not dispatched</t>
        </is>
      </c>
      <c r="E18" s="39" t="inlineStr">
        <is>
          <t>1. Toggle availability OFF
2. Patient nearby sends SOS
3. Toggle ON and repeat</t>
        </is>
      </c>
      <c r="F18" s="39" t="inlineStr">
        <is>
          <t>No alert while OFF; alert received after switching ON; toggle state persists after reopening the app</t>
        </is>
      </c>
      <c r="G18" s="38" t="inlineStr">
        <is>
          <t>High</t>
        </is>
      </c>
      <c r="H18" s="40" t="inlineStr">
        <is>
          <t>PENDING</t>
        </is>
      </c>
      <c r="I18" s="39" t="n"/>
    </row>
    <row r="19" ht="40" customHeight="1">
      <c r="A19" s="41" t="inlineStr">
        <is>
          <t>RSP-13</t>
        </is>
      </c>
      <c r="B19" s="42" t="inlineStr">
        <is>
          <t>FR6.4</t>
        </is>
      </c>
      <c r="C19" s="43" t="inlineStr">
        <is>
          <t>Navigation</t>
        </is>
      </c>
      <c r="D19" s="43" t="inlineStr">
        <is>
          <t>Navigate opens turn-by-turn directions to the patient</t>
        </is>
      </c>
      <c r="E19" s="43" t="inlineStr">
        <is>
          <t>1. Active emergency → tap Navigate</t>
        </is>
      </c>
      <c r="F19" s="43" t="inlineStr">
        <is>
          <t>Google Maps opens with driving directions to the patient coordinates</t>
        </is>
      </c>
      <c r="G19" s="42" t="inlineStr">
        <is>
          <t>High</t>
        </is>
      </c>
      <c r="H19" s="40" t="inlineStr">
        <is>
          <t>PENDING</t>
        </is>
      </c>
      <c r="I19" s="43" t="n"/>
    </row>
    <row r="20" ht="50" customHeight="1">
      <c r="A20" s="37" t="inlineStr">
        <is>
          <t>RSP-14</t>
        </is>
      </c>
      <c r="B20" s="38" t="inlineStr">
        <is>
          <t>FR6.1</t>
        </is>
      </c>
      <c r="C20" s="39" t="inlineStr">
        <is>
          <t>Tracking</t>
        </is>
      </c>
      <c r="D20" s="39" t="inlineStr">
        <is>
          <t>Responder location is shared live every few seconds during an active emergency</t>
        </is>
      </c>
      <c r="E20" s="39" t="inlineStr">
        <is>
          <t>1. Accept SOS
2. Move for 1 minute</t>
        </is>
      </c>
      <c r="F20" s="39" t="inlineStr">
        <is>
          <t>Patient, caregiver and admin live map show the motorbike ambulance moving smoothly</t>
        </is>
      </c>
      <c r="G20" s="38" t="inlineStr">
        <is>
          <t>Critical</t>
        </is>
      </c>
      <c r="H20" s="40" t="inlineStr">
        <is>
          <t>PENDING</t>
        </is>
      </c>
      <c r="I20" s="39" t="n"/>
    </row>
    <row r="21" ht="50" customHeight="1">
      <c r="A21" s="41" t="inlineStr">
        <is>
          <t>RSP-15</t>
        </is>
      </c>
      <c r="B21" s="46" t="inlineStr">
        <is>
          <t>Beyond SRS</t>
        </is>
      </c>
      <c r="C21" s="43" t="inlineStr">
        <is>
          <t>Assignment</t>
        </is>
      </c>
      <c r="D21" s="43" t="inlineStr">
        <is>
          <t>Responder cancelling an accepted job re-dispatches the SOS</t>
        </is>
      </c>
      <c r="E21" s="43" t="inlineStr">
        <is>
          <t>1. Accept SOS
2. Cancel response (confirm)</t>
        </is>
      </c>
      <c r="F21" s="43" t="inlineStr">
        <is>
          <t>Patient sees "Finding another responder"; other nearby responders receive the alert</t>
        </is>
      </c>
      <c r="G21" s="42" t="inlineStr">
        <is>
          <t>Medium</t>
        </is>
      </c>
      <c r="H21" s="40" t="inlineStr">
        <is>
          <t>PENDING</t>
        </is>
      </c>
      <c r="I21" s="43" t="n"/>
    </row>
  </sheetData>
  <mergeCells count="5">
    <mergeCell ref="A15:I15"/>
    <mergeCell ref="A7:I7"/>
    <mergeCell ref="A1:I1"/>
    <mergeCell ref="A3:I3"/>
    <mergeCell ref="A12:I12"/>
  </mergeCells>
  <conditionalFormatting sqref="H4:H21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21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CAREGIVER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LINKED PATIENTS</t>
        </is>
      </c>
    </row>
    <row r="4" ht="40" customHeight="1">
      <c r="A4" s="37" t="inlineStr">
        <is>
          <t>CG-01</t>
        </is>
      </c>
      <c r="B4" s="38" t="inlineStr">
        <is>
          <t>FR6.3, FR7.2</t>
        </is>
      </c>
      <c r="C4" s="39" t="inlineStr">
        <is>
          <t>Linked Patients</t>
        </is>
      </c>
      <c r="D4" s="39" t="inlineStr">
        <is>
          <t>Caregiver can view list of all linked patients on home screen</t>
        </is>
      </c>
      <c r="E4" s="39" t="inlineStr">
        <is>
          <t>1. Log in as Caregiver
2. Navigate to Home</t>
        </is>
      </c>
      <c r="F4" s="39" t="inlineStr">
        <is>
          <t>List of linked patients shown with name, status, and last active time</t>
        </is>
      </c>
      <c r="G4" s="38" t="inlineStr">
        <is>
          <t>High</t>
        </is>
      </c>
      <c r="H4" s="40" t="inlineStr">
        <is>
          <t>PENDING</t>
        </is>
      </c>
      <c r="I4" s="39" t="n"/>
    </row>
    <row r="5" ht="50" customHeight="1">
      <c r="A5" s="41" t="inlineStr">
        <is>
          <t>CG-02</t>
        </is>
      </c>
      <c r="B5" s="42" t="inlineStr">
        <is>
          <t>FR8.2</t>
        </is>
      </c>
      <c r="C5" s="43" t="inlineStr">
        <is>
          <t>Patient Profile</t>
        </is>
      </c>
      <c r="D5" s="43" t="inlineStr">
        <is>
          <t>Caregiver can open a linked patient's profile with visible header and back navigation</t>
        </is>
      </c>
      <c r="E5" s="43" t="inlineStr">
        <is>
          <t>1. Log in as Caregiver
2. Tap a linked patient's card
3. Inspect the screen</t>
        </is>
      </c>
      <c r="F5" s="43" t="inlineStr">
        <is>
          <t>Profile opens with "Patient Profile" AppBar title visible; back arrow present; bottom nav NOT shown</t>
        </is>
      </c>
      <c r="G5" s="42" t="inlineStr">
        <is>
          <t>High</t>
        </is>
      </c>
      <c r="H5" s="40" t="inlineStr">
        <is>
          <t>PENDING</t>
        </is>
      </c>
      <c r="I5" s="43" t="n"/>
    </row>
    <row r="6" ht="50" customHeight="1">
      <c r="A6" s="37" t="inlineStr">
        <is>
          <t>CG-03</t>
        </is>
      </c>
      <c r="B6" s="38" t="inlineStr">
        <is>
          <t>FR3.1</t>
        </is>
      </c>
      <c r="C6" s="39" t="inlineStr">
        <is>
          <t>Patient Profile</t>
        </is>
      </c>
      <c r="D6" s="39" t="inlineStr">
        <is>
          <t>Deaf patient badge shown on patient profile with caregiver-relevant subtitle</t>
        </is>
      </c>
      <c r="E6" s="39" t="inlineStr">
        <is>
          <t>1. View profile of a Deaf linked patient</t>
        </is>
      </c>
      <c r="F6" s="39" t="inlineStr">
        <is>
          <t>Deaf badge shows subtitle: "Communicate via text chat • Cannot receive voice calls • Uses visual alerts"</t>
        </is>
      </c>
      <c r="G6" s="38" t="inlineStr">
        <is>
          <t>Medium</t>
        </is>
      </c>
      <c r="H6" s="40" t="inlineStr">
        <is>
          <t>PENDING</t>
        </is>
      </c>
      <c r="I6" s="39" t="n"/>
    </row>
    <row r="7" ht="50" customHeight="1">
      <c r="A7" s="41" t="inlineStr">
        <is>
          <t>CG-04</t>
        </is>
      </c>
      <c r="B7" s="42" t="inlineStr">
        <is>
          <t>FR1.6</t>
        </is>
      </c>
      <c r="C7" s="43" t="inlineStr">
        <is>
          <t>Patient Profile</t>
        </is>
      </c>
      <c r="D7" s="43" t="inlineStr">
        <is>
          <t>Caregiver does NOT see the accessibility settings banner on patient profile</t>
        </is>
      </c>
      <c r="E7" s="43" t="inlineStr">
        <is>
          <t>1. View a linked patient's profile
2. Check for accessibility banner</t>
        </is>
      </c>
      <c r="F7" s="43" t="inlineStr">
        <is>
          <t>No accessibility banner/toggle shown; profile is read-only for caregiver</t>
        </is>
      </c>
      <c r="G7" s="42" t="inlineStr">
        <is>
          <t>Medium</t>
        </is>
      </c>
      <c r="H7" s="40" t="inlineStr">
        <is>
          <t>PENDING</t>
        </is>
      </c>
      <c r="I7" s="43" t="n"/>
    </row>
    <row r="8" ht="18" customHeight="1">
      <c r="A8" s="36" t="inlineStr">
        <is>
          <t xml:space="preserve">  EMERGENCY NOTIFICATIONS</t>
        </is>
      </c>
    </row>
    <row r="9" ht="50" customHeight="1">
      <c r="A9" s="37" t="inlineStr">
        <is>
          <t>CG-05</t>
        </is>
      </c>
      <c r="B9" s="38" t="inlineStr">
        <is>
          <t>FR4.6</t>
        </is>
      </c>
      <c r="C9" s="39" t="inlineStr">
        <is>
          <t>Notifications</t>
        </is>
      </c>
      <c r="D9" s="39" t="inlineStr">
        <is>
          <t>Caregiver receives push notification when linked patient triggers SOS</t>
        </is>
      </c>
      <c r="E9" s="39" t="inlineStr">
        <is>
          <t>1. Link Caregiver to patient
2. Trigger SOS from patient account
3. Check Caregiver device</t>
        </is>
      </c>
      <c r="F9" s="39" t="inlineStr">
        <is>
          <t>Push notification arrives within 5 seconds; notification shows patient name and emergency type</t>
        </is>
      </c>
      <c r="G9" s="38" t="inlineStr">
        <is>
          <t>Critical</t>
        </is>
      </c>
      <c r="H9" s="40" t="inlineStr">
        <is>
          <t>PENDING</t>
        </is>
      </c>
      <c r="I9" s="39" t="n"/>
    </row>
    <row r="10" ht="40" customHeight="1">
      <c r="A10" s="41" t="inlineStr">
        <is>
          <t>CG-06</t>
        </is>
      </c>
      <c r="B10" s="42" t="inlineStr">
        <is>
          <t>FR3.3</t>
        </is>
      </c>
      <c r="C10" s="43" t="inlineStr">
        <is>
          <t>Notifications</t>
        </is>
      </c>
      <c r="D10" s="43" t="inlineStr">
        <is>
          <t>Caregiver receives vibration alert if Vibration Feedback is enabled</t>
        </is>
      </c>
      <c r="E10" s="43" t="inlineStr">
        <is>
          <t>1. Enable Vibration Feedback in Accessibility Settings
2. Trigger SOS from linked patient</t>
        </is>
      </c>
      <c r="F10" s="43" t="inlineStr">
        <is>
          <t>Device vibrates on SOS alert in addition to push notification</t>
        </is>
      </c>
      <c r="G10" s="42" t="inlineStr">
        <is>
          <t>High</t>
        </is>
      </c>
      <c r="H10" s="40" t="inlineStr">
        <is>
          <t>PENDING</t>
        </is>
      </c>
      <c r="I10" s="43" t="n"/>
    </row>
    <row r="11" ht="18" customHeight="1">
      <c r="A11" s="36" t="inlineStr">
        <is>
          <t xml:space="preserve">  ADDED IN v2.0 — SRS GAPS &amp; NEW FEATURES</t>
        </is>
      </c>
    </row>
    <row r="12" ht="50" customHeight="1">
      <c r="A12" s="37" t="inlineStr">
        <is>
          <t>CG-07</t>
        </is>
      </c>
      <c r="B12" s="38" t="inlineStr">
        <is>
          <t>FR7.2</t>
        </is>
      </c>
      <c r="C12" s="39" t="inlineStr">
        <is>
          <t>Linking</t>
        </is>
      </c>
      <c r="D12" s="39" t="inlineStr">
        <is>
          <t>Patient and caregiver link through an email invitation (many-to-many)</t>
        </is>
      </c>
      <c r="E12" s="39" t="inlineStr">
        <is>
          <t>1. Caregiver invites patient A and patient B
2. Both accept
3. Patient A also links a second caregiver</t>
        </is>
      </c>
      <c r="F12" s="39" t="inlineStr">
        <is>
          <t>Caregiver sees both patients; patient A sees both caregivers</t>
        </is>
      </c>
      <c r="G12" s="38" t="inlineStr">
        <is>
          <t>High</t>
        </is>
      </c>
      <c r="H12" s="40" t="inlineStr">
        <is>
          <t>PENDING</t>
        </is>
      </c>
      <c r="I12" s="39" t="n"/>
    </row>
    <row r="13" ht="50" customHeight="1">
      <c r="A13" s="41" t="inlineStr">
        <is>
          <t>CG-08</t>
        </is>
      </c>
      <c r="B13" s="42" t="inlineStr">
        <is>
          <t>FR6.3, FR6.2</t>
        </is>
      </c>
      <c r="C13" s="43" t="inlineStr">
        <is>
          <t>Live Map</t>
        </is>
      </c>
      <c r="D13" s="43" t="inlineStr">
        <is>
          <t>Caregiver sees the live map when a linked patient's SOS is accepted</t>
        </is>
      </c>
      <c r="E13" s="43" t="inlineStr">
        <is>
          <t>1. Linked patient sends SOS
2. Responder accepts and moves
3. Caregiver taps "Track live"</t>
        </is>
      </c>
      <c r="F13" s="43" t="inlineStr">
        <is>
          <t>Map shows patient pin, moving ambulance marker, ETA and status timeline</t>
        </is>
      </c>
      <c r="G13" s="42" t="inlineStr">
        <is>
          <t>Critical</t>
        </is>
      </c>
      <c r="H13" s="40" t="inlineStr">
        <is>
          <t>PENDING</t>
        </is>
      </c>
      <c r="I13" s="43" t="n"/>
    </row>
    <row r="14" ht="50" customHeight="1">
      <c r="A14" s="37" t="inlineStr">
        <is>
          <t>CG-09</t>
        </is>
      </c>
      <c r="B14" s="38" t="inlineStr">
        <is>
          <t>FR4.6</t>
        </is>
      </c>
      <c r="C14" s="39" t="inlineStr">
        <is>
          <t>Notifications</t>
        </is>
      </c>
      <c r="D14" s="39" t="inlineStr">
        <is>
          <t>Caregiver receives assigned / arrived / safe updates without duplicate SOS alerts</t>
        </is>
      </c>
      <c r="E14" s="39" t="inlineStr">
        <is>
          <t>1. Run a full SOS to resolution</t>
        </is>
      </c>
      <c r="F14" s="39" t="inlineStr">
        <is>
          <t>Exactly one SOS alert, then "responder assigned", "help has arrived" and "patient safe" updates</t>
        </is>
      </c>
      <c r="G14" s="38" t="inlineStr">
        <is>
          <t>High</t>
        </is>
      </c>
      <c r="H14" s="40" t="inlineStr">
        <is>
          <t>PENDING</t>
        </is>
      </c>
      <c r="I14" s="39" t="n"/>
    </row>
    <row r="15" ht="50" customHeight="1">
      <c r="A15" s="41" t="inlineStr">
        <is>
          <t>CG-10</t>
        </is>
      </c>
      <c r="B15" s="46" t="inlineStr">
        <is>
          <t>Beyond SRS</t>
        </is>
      </c>
      <c r="C15" s="43" t="inlineStr">
        <is>
          <t>History</t>
        </is>
      </c>
      <c r="D15" s="43" t="inlineStr">
        <is>
          <t>Caregiver emergency history shows real data</t>
        </is>
      </c>
      <c r="E15" s="43" t="inlineStr">
        <is>
          <t>1. Open History after an emergency</t>
        </is>
      </c>
      <c r="F15" s="43" t="inlineStr">
        <is>
          <t>Past emergencies of linked patients with status, responder and time; no placeholder names</t>
        </is>
      </c>
      <c r="G15" s="42" t="inlineStr">
        <is>
          <t>Medium</t>
        </is>
      </c>
      <c r="H15" s="40" t="inlineStr">
        <is>
          <t>PENDING</t>
        </is>
      </c>
      <c r="I15" s="43" t="n"/>
    </row>
  </sheetData>
  <mergeCells count="4">
    <mergeCell ref="A1:I1"/>
    <mergeCell ref="A8:I8"/>
    <mergeCell ref="A3:I3"/>
    <mergeCell ref="A11:I11"/>
  </mergeCells>
  <conditionalFormatting sqref="H4:H15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15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MEDICAL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MEDICAL PROFILE</t>
        </is>
      </c>
    </row>
    <row r="4" ht="50" customHeight="1">
      <c r="A4" s="37" t="inlineStr">
        <is>
          <t>MED-01</t>
        </is>
      </c>
      <c r="B4" s="38" t="inlineStr">
        <is>
          <t>FR2.1, FR2.2</t>
        </is>
      </c>
      <c r="C4" s="39" t="inlineStr">
        <is>
          <t>Profile</t>
        </is>
      </c>
      <c r="D4" s="39" t="inlineStr">
        <is>
          <t>Patient creates and edits the medical profile</t>
        </is>
      </c>
      <c r="E4" s="39" t="inlineStr">
        <is>
          <t>1. Medical ID → Edit
2. Set blood group, allergies, chronic diseases, medications, disability type
3. Save and reopen</t>
        </is>
      </c>
      <c r="F4" s="39" t="inlineStr">
        <is>
          <t>All fields saved and shown on Medical ID; DEAF disability reflected in app mode</t>
        </is>
      </c>
      <c r="G4" s="38" t="inlineStr">
        <is>
          <t>Critical</t>
        </is>
      </c>
      <c r="H4" s="40" t="inlineStr">
        <is>
          <t>PENDING</t>
        </is>
      </c>
      <c r="I4" s="39" t="n"/>
    </row>
    <row r="5" ht="40" customHeight="1">
      <c r="A5" s="41" t="inlineStr">
        <is>
          <t>MED-02</t>
        </is>
      </c>
      <c r="B5" s="42" t="inlineStr">
        <is>
          <t>FR2.1</t>
        </is>
      </c>
      <c r="C5" s="43" t="inlineStr">
        <is>
          <t>Profile</t>
        </is>
      </c>
      <c r="D5" s="43" t="inlineStr">
        <is>
          <t>Saving the medical profile keeps emergency contacts and quick phrases</t>
        </is>
      </c>
      <c r="E5" s="43" t="inlineStr">
        <is>
          <t>1. Add 2 emergency contacts and a quick phrase
2. Edit and save the medical profile</t>
        </is>
      </c>
      <c r="F5" s="43" t="inlineStr">
        <is>
          <t>Contacts and quick phrases are unchanged</t>
        </is>
      </c>
      <c r="G5" s="42" t="inlineStr">
        <is>
          <t>High</t>
        </is>
      </c>
      <c r="H5" s="40" t="inlineStr">
        <is>
          <t>PENDING</t>
        </is>
      </c>
      <c r="I5" s="43" t="n"/>
    </row>
    <row r="6" ht="50" customHeight="1">
      <c r="A6" s="37" t="inlineStr">
        <is>
          <t>MED-03</t>
        </is>
      </c>
      <c r="B6" s="38" t="inlineStr">
        <is>
          <t>FR2.1</t>
        </is>
      </c>
      <c r="C6" s="39" t="inlineStr">
        <is>
          <t>Contacts</t>
        </is>
      </c>
      <c r="D6" s="39" t="inlineStr">
        <is>
          <t>Patient adds, calls and deletes emergency contacts</t>
        </is>
      </c>
      <c r="E6" s="39" t="inlineStr">
        <is>
          <t>1. Add contact
2. Tap Call
3. Delete with confirmation</t>
        </is>
      </c>
      <c r="F6" s="39" t="inlineStr">
        <is>
          <t>Contact saved; dialer opens; contact removed after confirmation; duplicate phone rejected</t>
        </is>
      </c>
      <c r="G6" s="38" t="inlineStr">
        <is>
          <t>Medium</t>
        </is>
      </c>
      <c r="H6" s="40" t="inlineStr">
        <is>
          <t>PENDING</t>
        </is>
      </c>
      <c r="I6" s="39" t="n"/>
    </row>
    <row r="7" ht="50" customHeight="1">
      <c r="A7" s="41" t="inlineStr">
        <is>
          <t>MED-04</t>
        </is>
      </c>
      <c r="B7" s="42" t="inlineStr">
        <is>
          <t>FR2.2</t>
        </is>
      </c>
      <c r="C7" s="43" t="inlineStr">
        <is>
          <t>Profile</t>
        </is>
      </c>
      <c r="D7" s="43" t="inlineStr">
        <is>
          <t>Sensitive medical fields are encrypted at rest</t>
        </is>
      </c>
      <c r="E7" s="43" t="inlineStr">
        <is>
          <t>Inspect MedicalProfile.allergies in the database</t>
        </is>
      </c>
      <c r="F7" s="43" t="inlineStr">
        <is>
          <t>Stored value is ciphertext; app and assigned responder see readable values</t>
        </is>
      </c>
      <c r="G7" s="42" t="inlineStr">
        <is>
          <t>High</t>
        </is>
      </c>
      <c r="H7" s="40" t="inlineStr">
        <is>
          <t>PENDING</t>
        </is>
      </c>
      <c r="I7" s="43" t="n"/>
    </row>
    <row r="8" ht="18" customHeight="1">
      <c r="A8" s="36" t="inlineStr">
        <is>
          <t xml:space="preserve">  MEDICAL REPORTS</t>
        </is>
      </c>
    </row>
    <row r="9" ht="50" customHeight="1">
      <c r="A9" s="37" t="inlineStr">
        <is>
          <t>MED-05</t>
        </is>
      </c>
      <c r="B9" s="38" t="inlineStr">
        <is>
          <t>FR2.3</t>
        </is>
      </c>
      <c r="C9" s="39" t="inlineStr">
        <is>
          <t>Reports</t>
        </is>
      </c>
      <c r="D9" s="39" t="inlineStr">
        <is>
          <t>Upload a report from camera, gallery (image) and PDF</t>
        </is>
      </c>
      <c r="E9" s="39" t="inlineStr">
        <is>
          <t>1. Reports → Upload → Camera
2. Upload from gallery
3. Upload a PDF (≤10 MB)</t>
        </is>
      </c>
      <c r="F9" s="39" t="inlineStr">
        <is>
          <t>All three appear in the list with name, type and size</t>
        </is>
      </c>
      <c r="G9" s="38" t="inlineStr">
        <is>
          <t>Critical</t>
        </is>
      </c>
      <c r="H9" s="40" t="inlineStr">
        <is>
          <t>PENDING</t>
        </is>
      </c>
      <c r="I9" s="39" t="n"/>
    </row>
    <row r="10" ht="40" customHeight="1">
      <c r="A10" s="41" t="inlineStr">
        <is>
          <t>MED-06</t>
        </is>
      </c>
      <c r="B10" s="42" t="inlineStr">
        <is>
          <t>FR2.3</t>
        </is>
      </c>
      <c r="C10" s="43" t="inlineStr">
        <is>
          <t>Reports</t>
        </is>
      </c>
      <c r="D10" s="43" t="inlineStr">
        <is>
          <t>Unsupported or oversized files are rejected with a clear message</t>
        </is>
      </c>
      <c r="E10" s="43" t="inlineStr">
        <is>
          <t>Upload an .exe and an 11 MB file</t>
        </is>
      </c>
      <c r="F10" s="43" t="inlineStr">
        <is>
          <t>Upload refused with an error; nothing added to the list</t>
        </is>
      </c>
      <c r="G10" s="42" t="inlineStr">
        <is>
          <t>Medium</t>
        </is>
      </c>
      <c r="H10" s="40" t="inlineStr">
        <is>
          <t>PENDING</t>
        </is>
      </c>
      <c r="I10" s="43" t="n"/>
    </row>
    <row r="11" ht="50" customHeight="1">
      <c r="A11" s="37" t="inlineStr">
        <is>
          <t>MED-07</t>
        </is>
      </c>
      <c r="B11" s="38" t="inlineStr">
        <is>
          <t>FR2.4</t>
        </is>
      </c>
      <c r="C11" s="39" t="inlineStr">
        <is>
          <t>Reports</t>
        </is>
      </c>
      <c r="D11" s="39" t="inlineStr">
        <is>
          <t>View, rename and delete a report</t>
        </is>
      </c>
      <c r="E11" s="39" t="inlineStr">
        <is>
          <t>1. Open a report
2. Rename it
3. Delete with confirmation</t>
        </is>
      </c>
      <c r="F11" s="39" t="inlineStr">
        <is>
          <t>Report opens; new name shown; report removed after confirmation</t>
        </is>
      </c>
      <c r="G11" s="38" t="inlineStr">
        <is>
          <t>High</t>
        </is>
      </c>
      <c r="H11" s="40" t="inlineStr">
        <is>
          <t>PENDING</t>
        </is>
      </c>
      <c r="I11" s="39" t="n"/>
    </row>
    <row r="12" ht="18" customHeight="1">
      <c r="A12" s="36" t="inlineStr">
        <is>
          <t xml:space="preserve">  DATA SHARING &amp; ISOLATION</t>
        </is>
      </c>
    </row>
    <row r="13" ht="50" customHeight="1">
      <c r="A13" s="37" t="inlineStr">
        <is>
          <t>MED-08</t>
        </is>
      </c>
      <c r="B13" s="38" t="inlineStr">
        <is>
          <t>FR2.5</t>
        </is>
      </c>
      <c r="C13" s="39" t="inlineStr">
        <is>
          <t>SOS</t>
        </is>
      </c>
      <c r="D13" s="39" t="inlineStr">
        <is>
          <t>Assigned responder receives the patient medical summary on accept</t>
        </is>
      </c>
      <c r="E13" s="39" t="inlineStr">
        <is>
          <t>1. Patient with allergies sends SOS
2. Responder accepts</t>
        </is>
      </c>
      <c r="F13" s="39" t="inlineStr">
        <is>
          <t>Responder sees blood group, allergies, chronic diseases, medications and DEAF flag</t>
        </is>
      </c>
      <c r="G13" s="38" t="inlineStr">
        <is>
          <t>Critical</t>
        </is>
      </c>
      <c r="H13" s="40" t="inlineStr">
        <is>
          <t>PENDING</t>
        </is>
      </c>
      <c r="I13" s="39" t="n"/>
    </row>
    <row r="14" ht="50" customHeight="1">
      <c r="A14" s="41" t="inlineStr">
        <is>
          <t>MED-09</t>
        </is>
      </c>
      <c r="B14" s="42" t="inlineStr">
        <is>
          <t>FR2.6</t>
        </is>
      </c>
      <c r="C14" s="43" t="inlineStr">
        <is>
          <t>Isolation</t>
        </is>
      </c>
      <c r="D14" s="43" t="inlineStr">
        <is>
          <t>Report files are visible only to the patient, linked caregivers, the active responder and admins</t>
        </is>
      </c>
      <c r="E14" s="43" t="inlineStr">
        <is>
          <t>1. Open a report URL as an unrelated patient
2. As a responder after the emergency is resolved</t>
        </is>
      </c>
      <c r="F14" s="43" t="inlineStr">
        <is>
          <t>HTTP 403 in both cases</t>
        </is>
      </c>
      <c r="G14" s="42" t="inlineStr">
        <is>
          <t>Critical</t>
        </is>
      </c>
      <c r="H14" s="40" t="inlineStr">
        <is>
          <t>PENDING</t>
        </is>
      </c>
      <c r="I14" s="43" t="n"/>
    </row>
  </sheetData>
  <mergeCells count="4">
    <mergeCell ref="A1:I1"/>
    <mergeCell ref="A12:I12"/>
    <mergeCell ref="A8:I8"/>
    <mergeCell ref="A3:I3"/>
  </mergeCells>
  <conditionalFormatting sqref="H4:H14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14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CHAT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REAL-TIME MESSAGING</t>
        </is>
      </c>
    </row>
    <row r="4" ht="50" customHeight="1">
      <c r="A4" s="37" t="inlineStr">
        <is>
          <t>CHT-01</t>
        </is>
      </c>
      <c r="B4" s="38" t="inlineStr">
        <is>
          <t>FR7.1</t>
        </is>
      </c>
      <c r="C4" s="39" t="inlineStr">
        <is>
          <t>Chat</t>
        </is>
      </c>
      <c r="D4" s="39" t="inlineStr">
        <is>
          <t>Patient and Responder can exchange real-time text messages during emergency</t>
        </is>
      </c>
      <c r="E4" s="39" t="inlineStr">
        <is>
          <t>1. Active emergency in progress
2. Open chat from both sides
3. Send messages</t>
        </is>
      </c>
      <c r="F4" s="39" t="inlineStr">
        <is>
          <t>Messages appear instantly on both sides without page refresh</t>
        </is>
      </c>
      <c r="G4" s="38" t="inlineStr">
        <is>
          <t>High</t>
        </is>
      </c>
      <c r="H4" s="40" t="inlineStr">
        <is>
          <t>PENDING</t>
        </is>
      </c>
      <c r="I4" s="39" t="n"/>
    </row>
    <row r="5" ht="50" customHeight="1">
      <c r="A5" s="41" t="inlineStr">
        <is>
          <t>CHT-02</t>
        </is>
      </c>
      <c r="B5" s="42" t="inlineStr">
        <is>
          <t>FR7.1</t>
        </is>
      </c>
      <c r="C5" s="43" t="inlineStr">
        <is>
          <t>Chat</t>
        </is>
      </c>
      <c r="D5" s="43" t="inlineStr">
        <is>
          <t>Normal patient sees mic button for voice recording in chat</t>
        </is>
      </c>
      <c r="E5" s="43" t="inlineStr">
        <is>
          <t>1. Log in as Normal Patient
2. Open chat screen
3. Inspect input area</t>
        </is>
      </c>
      <c r="F5" s="43" t="inlineStr">
        <is>
          <t>Mic icon shown in send button area; tapping it starts voice recording</t>
        </is>
      </c>
      <c r="G5" s="42" t="inlineStr">
        <is>
          <t>High</t>
        </is>
      </c>
      <c r="H5" s="40" t="inlineStr">
        <is>
          <t>PENDING</t>
        </is>
      </c>
      <c r="I5" s="43" t="n"/>
    </row>
    <row r="6" ht="50" customHeight="1">
      <c r="A6" s="37" t="inlineStr">
        <is>
          <t>CHT-03</t>
        </is>
      </c>
      <c r="B6" s="38" t="inlineStr">
        <is>
          <t>FR3.1, FR3.4</t>
        </is>
      </c>
      <c r="C6" s="39" t="inlineStr">
        <is>
          <t>Chat</t>
        </is>
      </c>
      <c r="D6" s="39" t="inlineStr">
        <is>
          <t>Deaf patient does NOT see mic button; send button always shown instead</t>
        </is>
      </c>
      <c r="E6" s="39" t="inlineStr">
        <is>
          <t>1. Log in as Deaf Patient
2. Open chat screen
3. Inspect input area with empty text field</t>
        </is>
      </c>
      <c r="F6" s="39" t="inlineStr">
        <is>
          <t>Mic icon NOT shown; send icon shown (slightly dimmed if field empty); no voice recording option</t>
        </is>
      </c>
      <c r="G6" s="38" t="inlineStr">
        <is>
          <t>Critical</t>
        </is>
      </c>
      <c r="H6" s="40" t="inlineStr">
        <is>
          <t>PENDING</t>
        </is>
      </c>
      <c r="I6" s="39" t="n"/>
    </row>
    <row r="7" ht="50" customHeight="1">
      <c r="A7" s="41" t="inlineStr">
        <is>
          <t>CHT-04</t>
        </is>
      </c>
      <c r="B7" s="42" t="inlineStr">
        <is>
          <t>FR3.4</t>
        </is>
      </c>
      <c r="C7" s="43" t="inlineStr">
        <is>
          <t>Chat</t>
        </is>
      </c>
      <c r="D7" s="43" t="inlineStr">
        <is>
          <t>Deaf patient sees Quick Phrases toolbar for one-tap message sending</t>
        </is>
      </c>
      <c r="E7" s="43" t="inlineStr">
        <is>
          <t>1. Log in as Deaf Patient
2. Open chat
3. Look for Quick Phrases bar</t>
        </is>
      </c>
      <c r="F7" s="43" t="inlineStr">
        <is>
          <t>Horizontal scrollable quick-phrase chips shown above input; tapping one fills and sends instantly</t>
        </is>
      </c>
      <c r="G7" s="42" t="inlineStr">
        <is>
          <t>Critical</t>
        </is>
      </c>
      <c r="H7" s="40" t="inlineStr">
        <is>
          <t>PENDING</t>
        </is>
      </c>
      <c r="I7" s="43" t="n"/>
    </row>
    <row r="8" ht="18" customHeight="1">
      <c r="A8" s="36" t="inlineStr">
        <is>
          <t xml:space="preserve">  QUICK PHRASES (DEAF PATIENTS)</t>
        </is>
      </c>
    </row>
    <row r="9" ht="64" customHeight="1">
      <c r="A9" s="37" t="inlineStr">
        <is>
          <t>CHT-05</t>
        </is>
      </c>
      <c r="B9" s="38" t="inlineStr">
        <is>
          <t>FR3.4</t>
        </is>
      </c>
      <c r="C9" s="39" t="inlineStr">
        <is>
          <t>Quick Phrases</t>
        </is>
      </c>
      <c r="D9" s="39" t="inlineStr">
        <is>
          <t>Deaf patient can manage (add/edit/delete) Quick Phrases from Accessibility Settings</t>
        </is>
      </c>
      <c r="E9" s="39" t="inlineStr">
        <is>
          <t>1. Log in as Deaf Patient
2. Go to Accessibility Settings
3. Tap "Manage Quick Phrases"
4. Add a new phrase</t>
        </is>
      </c>
      <c r="F9" s="39" t="inlineStr">
        <is>
          <t>Predefined Messages screen opens; new phrase saved and appears in chat toolbar</t>
        </is>
      </c>
      <c r="G9" s="38" t="inlineStr">
        <is>
          <t>High</t>
        </is>
      </c>
      <c r="H9" s="40" t="inlineStr">
        <is>
          <t>PENDING</t>
        </is>
      </c>
      <c r="I9" s="39" t="n"/>
    </row>
    <row r="10" ht="50" customHeight="1">
      <c r="A10" s="41" t="inlineStr">
        <is>
          <t>CHT-06</t>
        </is>
      </c>
      <c r="B10" s="42" t="inlineStr">
        <is>
          <t>FR3.1</t>
        </is>
      </c>
      <c r="C10" s="43" t="inlineStr">
        <is>
          <t>Quick Phrases</t>
        </is>
      </c>
      <c r="D10" s="43" t="inlineStr">
        <is>
          <t>Quick Phrases management option NOT shown for Normal Patient or Responder</t>
        </is>
      </c>
      <c r="E10" s="43" t="inlineStr">
        <is>
          <t>1. Log in as Normal Patient
2. Go to Accessibility Settings
3. Check for Quick Phrases option</t>
        </is>
      </c>
      <c r="F10" s="43" t="inlineStr">
        <is>
          <t>"Manage Quick Phrases" option is absent from the screen</t>
        </is>
      </c>
      <c r="G10" s="42" t="inlineStr">
        <is>
          <t>High</t>
        </is>
      </c>
      <c r="H10" s="40" t="inlineStr">
        <is>
          <t>PENDING</t>
        </is>
      </c>
      <c r="I10" s="43" t="n"/>
    </row>
    <row r="11" ht="18" customHeight="1">
      <c r="A11" s="36" t="inlineStr">
        <is>
          <t xml:space="preserve">  ADDED IN v2.0 — SRS GAPS &amp; NEW FEATURES</t>
        </is>
      </c>
    </row>
    <row r="12" ht="50" customHeight="1">
      <c r="A12" s="37" t="inlineStr">
        <is>
          <t>CHT-07</t>
        </is>
      </c>
      <c r="B12" s="38" t="inlineStr">
        <is>
          <t>FR3.4</t>
        </is>
      </c>
      <c r="C12" s="39" t="inlineStr">
        <is>
          <t>Emergency Chat</t>
        </is>
      </c>
      <c r="D12" s="39" t="inlineStr">
        <is>
          <t>Patient and assigned responder chat during an emergency</t>
        </is>
      </c>
      <c r="E12" s="39" t="inlineStr">
        <is>
          <t>1. Responder accepts
2. Patient opens Chat from tracking</t>
        </is>
      </c>
      <c r="F12" s="39" t="inlineStr">
        <is>
          <t>Messages delivered instantly both ways; deaf patient receives a system briefing message for the responder</t>
        </is>
      </c>
      <c r="G12" s="38" t="inlineStr">
        <is>
          <t>High</t>
        </is>
      </c>
      <c r="H12" s="40" t="inlineStr">
        <is>
          <t>PENDING</t>
        </is>
      </c>
      <c r="I12" s="39" t="n"/>
    </row>
    <row r="13" ht="40" customHeight="1">
      <c r="A13" s="41" t="inlineStr">
        <is>
          <t>CHT-08</t>
        </is>
      </c>
      <c r="B13" s="42" t="inlineStr">
        <is>
          <t>FR7.2</t>
        </is>
      </c>
      <c r="C13" s="43" t="inlineStr">
        <is>
          <t>Rooms</t>
        </is>
      </c>
      <c r="D13" s="43" t="inlineStr">
        <is>
          <t>One caregiver chats separately with multiple patients</t>
        </is>
      </c>
      <c r="E13" s="43" t="inlineStr">
        <is>
          <t>1. Caregiver linked to patients A and B
2. Chat with both</t>
        </is>
      </c>
      <c r="F13" s="43" t="inlineStr">
        <is>
          <t>Two independent rooms in chat list</t>
        </is>
      </c>
      <c r="G13" s="42" t="inlineStr">
        <is>
          <t>Medium</t>
        </is>
      </c>
      <c r="H13" s="40" t="inlineStr">
        <is>
          <t>PENDING</t>
        </is>
      </c>
      <c r="I13" s="43" t="n"/>
    </row>
    <row r="14" ht="40" customHeight="1">
      <c r="A14" s="37" t="inlineStr">
        <is>
          <t>CHT-09</t>
        </is>
      </c>
      <c r="B14" s="38" t="inlineStr">
        <is>
          <t>FR7.3</t>
        </is>
      </c>
      <c r="C14" s="39" t="inlineStr">
        <is>
          <t>Privacy</t>
        </is>
      </c>
      <c r="D14" s="39" t="inlineStr">
        <is>
          <t>Messages in one room are never visible to non-members</t>
        </is>
      </c>
      <c r="E14" s="39" t="inlineStr">
        <is>
          <t>1. User C (not a member) requests GET /api/chat/messages/:roomId and joins the socket room</t>
        </is>
      </c>
      <c r="F14" s="39" t="inlineStr">
        <is>
          <t>HTTP 403; socket join refused; no messages received</t>
        </is>
      </c>
      <c r="G14" s="38" t="inlineStr">
        <is>
          <t>Critical</t>
        </is>
      </c>
      <c r="H14" s="40" t="inlineStr">
        <is>
          <t>PENDING</t>
        </is>
      </c>
      <c r="I14" s="39" t="n"/>
    </row>
    <row r="15" ht="40" customHeight="1">
      <c r="A15" s="41" t="inlineStr">
        <is>
          <t>CHT-10</t>
        </is>
      </c>
      <c r="B15" s="42" t="inlineStr">
        <is>
          <t>FR7.4, FR3.3</t>
        </is>
      </c>
      <c r="C15" s="43" t="inlineStr">
        <is>
          <t>Notifications</t>
        </is>
      </c>
      <c r="D15" s="43" t="inlineStr">
        <is>
          <t>New message notification with haptic feedback</t>
        </is>
      </c>
      <c r="E15" s="43" t="inlineStr">
        <is>
          <t>1. App in background or on another screen
2. Receive a message</t>
        </is>
      </c>
      <c r="F15" s="43" t="inlineStr">
        <is>
          <t>Notification shown and device vibrates (if enabled)</t>
        </is>
      </c>
      <c r="G15" s="42" t="inlineStr">
        <is>
          <t>High</t>
        </is>
      </c>
      <c r="H15" s="40" t="inlineStr">
        <is>
          <t>PENDING</t>
        </is>
      </c>
      <c r="I15" s="43" t="n"/>
    </row>
    <row r="16" ht="40" customHeight="1">
      <c r="A16" s="37" t="inlineStr">
        <is>
          <t>CHT-11</t>
        </is>
      </c>
      <c r="B16" s="38" t="inlineStr">
        <is>
          <t>FR7.5</t>
        </is>
      </c>
      <c r="C16" s="39" t="inlineStr">
        <is>
          <t>History</t>
        </is>
      </c>
      <c r="D16" s="39" t="inlineStr">
        <is>
          <t>Chat history persists across app restarts</t>
        </is>
      </c>
      <c r="E16" s="39" t="inlineStr">
        <is>
          <t>1. Exchange messages
2. Force close and reopen app</t>
        </is>
      </c>
      <c r="F16" s="39" t="inlineStr">
        <is>
          <t>Previous messages load in order</t>
        </is>
      </c>
      <c r="G16" s="38" t="inlineStr">
        <is>
          <t>High</t>
        </is>
      </c>
      <c r="H16" s="40" t="inlineStr">
        <is>
          <t>PENDING</t>
        </is>
      </c>
      <c r="I16" s="39" t="n"/>
    </row>
    <row r="17" ht="50" customHeight="1">
      <c r="A17" s="41" t="inlineStr">
        <is>
          <t>CHT-12</t>
        </is>
      </c>
      <c r="B17" s="46" t="inlineStr">
        <is>
          <t>Beyond SRS</t>
        </is>
      </c>
      <c r="C17" s="43" t="inlineStr">
        <is>
          <t>Media</t>
        </is>
      </c>
      <c r="D17" s="43" t="inlineStr">
        <is>
          <t>Send image, document, voice note and current location</t>
        </is>
      </c>
      <c r="E17" s="43" t="inlineStr">
        <is>
          <t>1. Use the attachment sheet for each type</t>
        </is>
      </c>
      <c r="F17" s="43" t="inlineStr">
        <is>
          <t>Each message delivered and opens correctly; failed send keeps typed text</t>
        </is>
      </c>
      <c r="G17" s="42" t="inlineStr">
        <is>
          <t>Medium</t>
        </is>
      </c>
      <c r="H17" s="40" t="inlineStr">
        <is>
          <t>PENDING</t>
        </is>
      </c>
      <c r="I17" s="43" t="n"/>
    </row>
  </sheetData>
  <mergeCells count="4">
    <mergeCell ref="A1:I1"/>
    <mergeCell ref="A8:I8"/>
    <mergeCell ref="A3:I3"/>
    <mergeCell ref="A11:I11"/>
  </mergeCells>
  <conditionalFormatting sqref="H4:H17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17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PRIVACY_CALLS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CONTACT DETAILS PRIVACY</t>
        </is>
      </c>
    </row>
    <row r="4" ht="50" customHeight="1">
      <c r="A4" s="37" t="inlineStr">
        <is>
          <t>PRV-01</t>
        </is>
      </c>
      <c r="B4" s="38" t="inlineStr">
        <is>
          <t>FR7.3</t>
        </is>
      </c>
      <c r="C4" s="39" t="inlineStr">
        <is>
          <t>Privacy</t>
        </is>
      </c>
      <c r="D4" s="39" t="inlineStr">
        <is>
          <t>Phone number and email are hidden from users without a care or emergency relationship</t>
        </is>
      </c>
      <c r="E4" s="39" t="inlineStr">
        <is>
          <t>GET /api/users/:id as (a) an unrelated patient (b) a responder with no emergency for that patient</t>
        </is>
      </c>
      <c r="F4" s="39" t="inlineStr">
        <is>
          <t>phoneNumber and email are empty in both cases</t>
        </is>
      </c>
      <c r="G4" s="38" t="inlineStr">
        <is>
          <t>Critical</t>
        </is>
      </c>
      <c r="H4" s="45" t="inlineStr">
        <is>
          <t>PASS</t>
        </is>
      </c>
      <c r="I4" s="39" t="inlineStr">
        <is>
          <t>2026-09-17: privacy_e2e — unrelated patient / responder without emergency get empty phone</t>
        </is>
      </c>
    </row>
    <row r="5" ht="40" customHeight="1">
      <c r="A5" s="41" t="inlineStr">
        <is>
          <t>PRV-02</t>
        </is>
      </c>
      <c r="B5" s="42" t="inlineStr">
        <is>
          <t>FR7.3</t>
        </is>
      </c>
      <c r="C5" s="43" t="inlineStr">
        <is>
          <t>Privacy</t>
        </is>
      </c>
      <c r="D5" s="43" t="inlineStr">
        <is>
          <t>Patient and linked caregiver can see each other's phone number</t>
        </is>
      </c>
      <c r="E5" s="43" t="inlineStr">
        <is>
          <t>GET /api/users/:id between an accepted caregiver link</t>
        </is>
      </c>
      <c r="F5" s="43" t="inlineStr">
        <is>
          <t>Phone number returned both ways</t>
        </is>
      </c>
      <c r="G5" s="42" t="inlineStr">
        <is>
          <t>High</t>
        </is>
      </c>
      <c r="H5" s="45" t="inlineStr">
        <is>
          <t>PASS</t>
        </is>
      </c>
      <c r="I5" s="43" t="inlineStr">
        <is>
          <t>2026-09-17: privacy_e2e — linked caregiver and patient see each other's phone</t>
        </is>
      </c>
    </row>
    <row r="6" ht="50" customHeight="1">
      <c r="A6" s="37" t="inlineStr">
        <is>
          <t>PRV-03</t>
        </is>
      </c>
      <c r="B6" s="38" t="inlineStr">
        <is>
          <t>FR5.3</t>
        </is>
      </c>
      <c r="C6" s="39" t="inlineStr">
        <is>
          <t>Privacy</t>
        </is>
      </c>
      <c r="D6" s="39" t="inlineStr">
        <is>
          <t>A dispatched responder who has not accepted sees the medical summary but not the patient's contact details</t>
        </is>
      </c>
      <c r="E6" s="39" t="inlineStr">
        <is>
          <t>1. Patient sends SOS
2. Before accepting, responder opens the emergency and the request list</t>
        </is>
      </c>
      <c r="F6" s="39" t="inlineStr">
        <is>
          <t>Medical summary visible; patient phone and email absent</t>
        </is>
      </c>
      <c r="G6" s="38" t="inlineStr">
        <is>
          <t>Critical</t>
        </is>
      </c>
      <c r="H6" s="45" t="inlineStr">
        <is>
          <t>PASS</t>
        </is>
      </c>
      <c r="I6" s="39" t="inlineStr">
        <is>
          <t>2026-09-17: privacy_e2e — dispatched responder reads emergency + medical summary, no phone/email (details and pending list)</t>
        </is>
      </c>
    </row>
    <row r="7" ht="50" customHeight="1">
      <c r="A7" s="41" t="inlineStr">
        <is>
          <t>PRV-04</t>
        </is>
      </c>
      <c r="B7" s="42" t="inlineStr">
        <is>
          <t>FR5.3</t>
        </is>
      </c>
      <c r="C7" s="43" t="inlineStr">
        <is>
          <t>Privacy</t>
        </is>
      </c>
      <c r="D7" s="43" t="inlineStr">
        <is>
          <t>During an open emergency the patient, caregiver and assigned responder can reach each other</t>
        </is>
      </c>
      <c r="E7" s="43" t="inlineStr">
        <is>
          <t>1. Responder accepts
2. Each party reads the other's profile</t>
        </is>
      </c>
      <c r="F7" s="43" t="inlineStr">
        <is>
          <t>Phone numbers returned while the emergency is open</t>
        </is>
      </c>
      <c r="G7" s="42" t="inlineStr">
        <is>
          <t>High</t>
        </is>
      </c>
      <c r="H7" s="45" t="inlineStr">
        <is>
          <t>PASS</t>
        </is>
      </c>
      <c r="I7" s="43" t="inlineStr">
        <is>
          <t>2026-09-17: privacy_e2e — assigned responder, patient and caregiver see phones while the emergency is open</t>
        </is>
      </c>
    </row>
    <row r="8" ht="40" customHeight="1">
      <c r="A8" s="37" t="inlineStr">
        <is>
          <t>PRV-05</t>
        </is>
      </c>
      <c r="B8" s="44" t="inlineStr">
        <is>
          <t>Beyond SRS</t>
        </is>
      </c>
      <c r="C8" s="39" t="inlineStr">
        <is>
          <t>Privacy</t>
        </is>
      </c>
      <c r="D8" s="39" t="inlineStr">
        <is>
          <t>When the responder's job is done, contact details are hidden again</t>
        </is>
      </c>
      <c r="E8" s="39" t="inlineStr">
        <is>
          <t>1. Responder resolves
2. Patient, caregiver and responder read each other's profile and history</t>
        </is>
      </c>
      <c r="F8" s="39" t="inlineStr">
        <is>
          <t>No phone numbers; history shows the responder name only</t>
        </is>
      </c>
      <c r="G8" s="38" t="inlineStr">
        <is>
          <t>Critical</t>
        </is>
      </c>
      <c r="H8" s="45" t="inlineStr">
        <is>
          <t>PASS</t>
        </is>
      </c>
      <c r="I8" s="39" t="inlineStr">
        <is>
          <t>2026-09-17: privacy_e2e — after resolve all three lose the phone; history keeps responder name only</t>
        </is>
      </c>
    </row>
    <row r="9" ht="50" customHeight="1">
      <c r="A9" s="41" t="inlineStr">
        <is>
          <t>PRV-06</t>
        </is>
      </c>
      <c r="B9" s="46" t="inlineStr">
        <is>
          <t>Beyond SRS</t>
        </is>
      </c>
      <c r="C9" s="43" t="inlineStr">
        <is>
          <t>Privacy</t>
        </is>
      </c>
      <c r="D9" s="43" t="inlineStr">
        <is>
          <t>Responder history and the nearby-responder list never expose contact details</t>
        </is>
      </c>
      <c r="E9" s="43" t="inlineStr">
        <is>
          <t>GET /api/responders/history and /api/responders/nearby as a responder</t>
        </is>
      </c>
      <c r="F9" s="43" t="inlineStr">
        <is>
          <t>No patient or responder phone/email in the responses</t>
        </is>
      </c>
      <c r="G9" s="42" t="inlineStr">
        <is>
          <t>High</t>
        </is>
      </c>
      <c r="H9" s="45" t="inlineStr">
        <is>
          <t>PASS</t>
        </is>
      </c>
      <c r="I9" s="43" t="inlineStr">
        <is>
          <t>2026-09-17: privacy_e2e — responder history and nearby-responder list contain no phone/email</t>
        </is>
      </c>
    </row>
    <row r="10" ht="50" customHeight="1">
      <c r="A10" s="37" t="inlineStr">
        <is>
          <t>PRV-07</t>
        </is>
      </c>
      <c r="B10" s="38" t="inlineStr">
        <is>
          <t>FR5.1</t>
        </is>
      </c>
      <c r="C10" s="39" t="inlineStr">
        <is>
          <t>Dispatch</t>
        </is>
      </c>
      <c r="D10" s="39" t="inlineStr">
        <is>
          <t>When one responder accepts, other dispatched requests are closed as taken by another responder</t>
        </is>
      </c>
      <c r="E10" s="39" t="inlineStr">
        <is>
          <t>1. SOS dispatched to 2 responders
2. One accepts
3. Patient opens emergency chat</t>
        </is>
      </c>
      <c r="F10" s="39" t="inlineStr">
        <is>
          <t>Other request REJECTED (ASSIGNED_TO_ANOTHER_RESPONDER); chat room is with the accepting responder only</t>
        </is>
      </c>
      <c r="G10" s="38" t="inlineStr">
        <is>
          <t>Critical</t>
        </is>
      </c>
      <c r="H10" s="45" t="inlineStr">
        <is>
          <t>PASS</t>
        </is>
      </c>
      <c r="I10" s="39" t="inlineStr">
        <is>
          <t>2026-09-17: BUG FIXED — losing requests were COMPLETED and a chat room was created with a responder who never accepted; now REJECTED (taken by another), 19 old rows migrated, room created with accepting responder</t>
        </is>
      </c>
    </row>
    <row r="11" ht="18" customHeight="1">
      <c r="A11" s="36" t="inlineStr">
        <is>
          <t xml:space="preserve">  EMERGENCY CHAT LOCK</t>
        </is>
      </c>
    </row>
    <row r="12" ht="40" customHeight="1">
      <c r="A12" s="37" t="inlineStr">
        <is>
          <t>LCK-01</t>
        </is>
      </c>
      <c r="B12" s="38" t="inlineStr">
        <is>
          <t>FR7.3</t>
        </is>
      </c>
      <c r="C12" s="39" t="inlineStr">
        <is>
          <t>Chat</t>
        </is>
      </c>
      <c r="D12" s="39" t="inlineStr">
        <is>
          <t>Patient and assigned responder can chat while the emergency is open</t>
        </is>
      </c>
      <c r="E12" s="39" t="inlineStr">
        <is>
          <t>Send a message from each side</t>
        </is>
      </c>
      <c r="F12" s="39" t="inlineStr">
        <is>
          <t>Both messages delivered (HTTP 201)</t>
        </is>
      </c>
      <c r="G12" s="38" t="inlineStr">
        <is>
          <t>High</t>
        </is>
      </c>
      <c r="H12" s="45" t="inlineStr">
        <is>
          <t>PASS</t>
        </is>
      </c>
      <c r="I12" s="39" t="inlineStr">
        <is>
          <t>2026-09-17: privacy_e2e — patient and responder messages 201 while open</t>
        </is>
      </c>
    </row>
    <row r="13" ht="50" customHeight="1">
      <c r="A13" s="41" t="inlineStr">
        <is>
          <t>LCK-02</t>
        </is>
      </c>
      <c r="B13" s="46" t="inlineStr">
        <is>
          <t>Beyond SRS</t>
        </is>
      </c>
      <c r="C13" s="43" t="inlineStr">
        <is>
          <t>Chat</t>
        </is>
      </c>
      <c r="D13" s="43" t="inlineStr">
        <is>
          <t>After the emergency ends the chat is read-only for both sides</t>
        </is>
      </c>
      <c r="E13" s="43" t="inlineStr">
        <is>
          <t>1. Resolve the emergency
2. Send a message from patient and responder
3. Reopen the room</t>
        </is>
      </c>
      <c r="F13" s="43" t="inlineStr">
        <is>
          <t>HTTP 403 CHAT_CLOSED; room isLocked; old messages still readable</t>
        </is>
      </c>
      <c r="G13" s="42" t="inlineStr">
        <is>
          <t>Critical</t>
        </is>
      </c>
      <c r="H13" s="45" t="inlineStr">
        <is>
          <t>PASS</t>
        </is>
      </c>
      <c r="I13" s="43" t="inlineStr">
        <is>
          <t>2026-09-17: privacy_e2e — after resolve both get 403 CHAT_CLOSED; room isLocked=true; history readable</t>
        </is>
      </c>
    </row>
    <row r="14" ht="40" customHeight="1">
      <c r="A14" s="37" t="inlineStr">
        <is>
          <t>LCK-03</t>
        </is>
      </c>
      <c r="B14" s="44" t="inlineStr">
        <is>
          <t>Beyond SRS</t>
        </is>
      </c>
      <c r="C14" s="39" t="inlineStr">
        <is>
          <t>Chat</t>
        </is>
      </c>
      <c r="D14" s="39" t="inlineStr">
        <is>
          <t>App shows the closed state in an ended emergency chat</t>
        </is>
      </c>
      <c r="E14" s="39" t="inlineStr">
        <is>
          <t>Open the chat of a resolved emergency in the app</t>
        </is>
      </c>
      <c r="F14" s="39" t="inlineStr">
        <is>
          <t>Lock notice instead of the message box; no call button</t>
        </is>
      </c>
      <c r="G14" s="38" t="inlineStr">
        <is>
          <t>High</t>
        </is>
      </c>
      <c r="H14" s="45" t="inlineStr">
        <is>
          <t>PASS</t>
        </is>
      </c>
      <c r="I14" s="39" t="inlineStr">
        <is>
          <t>2026-09-17: emulator — ended emergency chat shows lock notice, no composer, no call icon</t>
        </is>
      </c>
    </row>
    <row r="15" ht="18" customHeight="1">
      <c r="A15" s="36" t="inlineStr">
        <is>
          <t xml:space="preserve">  PHONE CALLS (DIALER)</t>
        </is>
      </c>
    </row>
    <row r="16" ht="50" customHeight="1">
      <c r="A16" s="37" t="inlineStr">
        <is>
          <t>PHN-01</t>
        </is>
      </c>
      <c r="B16" s="44" t="inlineStr">
        <is>
          <t>Beyond SRS</t>
        </is>
      </c>
      <c r="C16" s="39" t="inlineStr">
        <is>
          <t>Calls</t>
        </is>
      </c>
      <c r="D16" s="39" t="inlineStr">
        <is>
          <t>Hearing patient calls the assigned responder from the tracking screen (use case UC4)</t>
        </is>
      </c>
      <c r="E16" s="39" t="inlineStr">
        <is>
          <t>Tap Call on the tracking screen</t>
        </is>
      </c>
      <c r="F16" s="39" t="inlineStr">
        <is>
          <t>Phone dialer opens with the responder's number</t>
        </is>
      </c>
      <c r="G16" s="38" t="inlineStr">
        <is>
          <t>High</t>
        </is>
      </c>
      <c r="H16" s="45" t="inlineStr">
        <is>
          <t>PASS</t>
        </is>
      </c>
      <c r="I16" s="39" t="inlineStr">
        <is>
          <t>2026-09-17: emulator — dialer opened with responder number +923001110003</t>
        </is>
      </c>
    </row>
    <row r="17" ht="40" customHeight="1">
      <c r="A17" s="41" t="inlineStr">
        <is>
          <t>PHN-02</t>
        </is>
      </c>
      <c r="B17" s="46" t="inlineStr">
        <is>
          <t>Beyond SRS</t>
        </is>
      </c>
      <c r="C17" s="43" t="inlineStr">
        <is>
          <t>Calls</t>
        </is>
      </c>
      <c r="D17" s="43" t="inlineStr">
        <is>
          <t>Responder calls a hearing patient from the active emergency (use case UC7)</t>
        </is>
      </c>
      <c r="E17" s="43" t="inlineStr">
        <is>
          <t>Tap Call patient</t>
        </is>
      </c>
      <c r="F17" s="43" t="inlineStr">
        <is>
          <t>Phone dialer opens with the patient's number</t>
        </is>
      </c>
      <c r="G17" s="42" t="inlineStr">
        <is>
          <t>High</t>
        </is>
      </c>
      <c r="H17" s="45" t="inlineStr">
        <is>
          <t>PASS</t>
        </is>
      </c>
      <c r="I17" s="43" t="inlineStr">
        <is>
          <t>2026-09-17: emulator — dialer opened with patient number +923001110001 (button was missing before)</t>
        </is>
      </c>
    </row>
    <row r="18" ht="50" customHeight="1">
      <c r="A18" s="37" t="inlineStr">
        <is>
          <t>PHN-03</t>
        </is>
      </c>
      <c r="B18" s="44" t="inlineStr">
        <is>
          <t>Beyond SRS</t>
        </is>
      </c>
      <c r="C18" s="39" t="inlineStr">
        <is>
          <t>Calls</t>
        </is>
      </c>
      <c r="D18" s="39" t="inlineStr">
        <is>
          <t>Call button in the chat header for patient ↔ caregiver and open emergency chats</t>
        </is>
      </c>
      <c r="E18" s="39" t="inlineStr">
        <is>
          <t>Open the chat and tap the call icon</t>
        </is>
      </c>
      <c r="F18" s="39" t="inlineStr">
        <is>
          <t>Phone dialer opens with the other person's number</t>
        </is>
      </c>
      <c r="G18" s="38" t="inlineStr">
        <is>
          <t>Medium</t>
        </is>
      </c>
      <c r="H18" s="45" t="inlineStr">
        <is>
          <t>PASS</t>
        </is>
      </c>
      <c r="I18" s="39" t="inlineStr">
        <is>
          <t>2026-09-17: emulator — chat header call opened +923001110004 (caregiver)</t>
        </is>
      </c>
    </row>
    <row r="19" ht="40" customHeight="1">
      <c r="A19" s="41" t="inlineStr">
        <is>
          <t>PHN-04</t>
        </is>
      </c>
      <c r="B19" s="42" t="inlineStr">
        <is>
          <t>FR3.1</t>
        </is>
      </c>
      <c r="C19" s="43" t="inlineStr">
        <is>
          <t>Accessibility</t>
        </is>
      </c>
      <c r="D19" s="43" t="inlineStr">
        <is>
          <t>No voice-call options are offered in a Deaf patient's chats</t>
        </is>
      </c>
      <c r="E19" s="43" t="inlineStr">
        <is>
          <t>Open a chat as / with a Deaf patient</t>
        </is>
      </c>
      <c r="F19" s="43" t="inlineStr">
        <is>
          <t>No phone call icon; chat remains the channel</t>
        </is>
      </c>
      <c r="G19" s="42" t="inlineStr">
        <is>
          <t>High</t>
        </is>
      </c>
      <c r="H19" s="45" t="inlineStr">
        <is>
          <t>PASS</t>
        </is>
      </c>
      <c r="I19" s="43" t="inlineStr">
        <is>
          <t>2026-09-17: emulator — Deaf patient chat header has no call icon</t>
        </is>
      </c>
    </row>
    <row r="20" ht="18" customHeight="1">
      <c r="A20" s="36" t="inlineStr">
        <is>
          <t xml:space="preserve">  IN-APP VOICE / VIDEO CALLS (WebRTC)</t>
        </is>
      </c>
    </row>
    <row r="21" ht="64" customHeight="1">
      <c r="A21" s="37" t="inlineStr">
        <is>
          <t>CALL-01</t>
        </is>
      </c>
      <c r="B21" s="44" t="inlineStr">
        <is>
          <t>Beyond SRS</t>
        </is>
      </c>
      <c r="C21" s="39" t="inlineStr">
        <is>
          <t>Signalling</t>
        </is>
      </c>
      <c r="D21" s="39" t="inlineStr">
        <is>
          <t>Patient calls a linked caregiver in the app</t>
        </is>
      </c>
      <c r="E21" s="39" t="inlineStr">
        <is>
          <t>1. Patient starts a voice call
2. Caregiver accepts
3. Offer/answer exchanged
4. Patient hangs up</t>
        </is>
      </c>
      <c r="F21" s="39" t="inlineStr">
        <is>
          <t>Incoming call with caller name; call connects; hang-up reaches the other side</t>
        </is>
      </c>
      <c r="G21" s="38" t="inlineStr">
        <is>
          <t>Critical</t>
        </is>
      </c>
      <c r="H21" s="45" t="inlineStr">
        <is>
          <t>PASS</t>
        </is>
      </c>
      <c r="I21" s="39" t="inlineStr">
        <is>
          <t>2026-09-17: call_signal_e2e — invite, incoming with caller name, accept, offer/answer relayed, hang-up</t>
        </is>
      </c>
    </row>
    <row r="22" ht="50" customHeight="1">
      <c r="A22" s="41" t="inlineStr">
        <is>
          <t>CALL-02</t>
        </is>
      </c>
      <c r="B22" s="46" t="inlineStr">
        <is>
          <t>Beyond SRS</t>
        </is>
      </c>
      <c r="C22" s="43" t="inlineStr">
        <is>
          <t>Security</t>
        </is>
      </c>
      <c r="D22" s="43" t="inlineStr">
        <is>
          <t>Only the two participants exchange call signals; busy users cannot be called</t>
        </is>
      </c>
      <c r="E22" s="43" t="inlineStr">
        <is>
          <t>1. A third user sends a signal for the call
2. Someone calls a user who is on a call</t>
        </is>
      </c>
      <c r="F22" s="43" t="inlineStr">
        <is>
          <t>Signal ignored; second caller gets BUSY</t>
        </is>
      </c>
      <c r="G22" s="42" t="inlineStr">
        <is>
          <t>High</t>
        </is>
      </c>
      <c r="H22" s="45" t="inlineStr">
        <is>
          <t>PASS</t>
        </is>
      </c>
      <c r="I22" s="43" t="inlineStr">
        <is>
          <t>2026-09-17: call_signal_e2e — outsider signal not relayed; BUSY while on another call</t>
        </is>
      </c>
    </row>
    <row r="23" ht="40" customHeight="1">
      <c r="A23" s="37" t="inlineStr">
        <is>
          <t>CALL-03</t>
        </is>
      </c>
      <c r="B23" s="38" t="inlineStr">
        <is>
          <t>FR3.1</t>
        </is>
      </c>
      <c r="C23" s="39" t="inlineStr">
        <is>
          <t>Accessibility</t>
        </is>
      </c>
      <c r="D23" s="39" t="inlineStr">
        <is>
          <t>Calls with a Deaf patient are video only</t>
        </is>
      </c>
      <c r="E23" s="39" t="inlineStr">
        <is>
          <t>Start a voice call from and to a Deaf patient, then a video call</t>
        </is>
      </c>
      <c r="F23" s="39" t="inlineStr">
        <is>
          <t>Voice refused (VIDEO_ONLY); video call allowed</t>
        </is>
      </c>
      <c r="G23" s="38" t="inlineStr">
        <is>
          <t>High</t>
        </is>
      </c>
      <c r="H23" s="45" t="inlineStr">
        <is>
          <t>PASS</t>
        </is>
      </c>
      <c r="I23" s="39" t="inlineStr">
        <is>
          <t>2026-09-17: call_signal_e2e — voice call from/to Deaf patient refused (VIDEO_ONLY); video allowed</t>
        </is>
      </c>
    </row>
    <row r="24" ht="40" customHeight="1">
      <c r="A24" s="41" t="inlineStr">
        <is>
          <t>CALL-04</t>
        </is>
      </c>
      <c r="B24" s="46" t="inlineStr">
        <is>
          <t>Beyond SRS</t>
        </is>
      </c>
      <c r="C24" s="43" t="inlineStr">
        <is>
          <t>Signalling</t>
        </is>
      </c>
      <c r="D24" s="43" t="inlineStr">
        <is>
          <t>Decline and cancel</t>
        </is>
      </c>
      <c r="E24" s="43" t="inlineStr">
        <is>
          <t>1. Callee declines
2. Caller cancels while ringing</t>
        </is>
      </c>
      <c r="F24" s="43" t="inlineStr">
        <is>
          <t>Other side is told immediately and the call screen closes</t>
        </is>
      </c>
      <c r="G24" s="42" t="inlineStr">
        <is>
          <t>Medium</t>
        </is>
      </c>
      <c r="H24" s="45" t="inlineStr">
        <is>
          <t>PASS</t>
        </is>
      </c>
      <c r="I24" s="43" t="inlineStr">
        <is>
          <t>2026-09-17: call_signal_e2e — decline and cancel reach the other side</t>
        </is>
      </c>
    </row>
    <row r="25" ht="40" customHeight="1">
      <c r="A25" s="37" t="inlineStr">
        <is>
          <t>CALL-05</t>
        </is>
      </c>
      <c r="B25" s="44" t="inlineStr">
        <is>
          <t>Beyond SRS</t>
        </is>
      </c>
      <c r="C25" s="39" t="inlineStr">
        <is>
          <t>Signalling</t>
        </is>
      </c>
      <c r="D25" s="39" t="inlineStr">
        <is>
          <t>Unanswered call stops ringing after 45 seconds</t>
        </is>
      </c>
      <c r="E25" s="39" t="inlineStr">
        <is>
          <t>Call and do not answer</t>
        </is>
      </c>
      <c r="F25" s="39" t="inlineStr">
        <is>
          <t>Both sides get "missed"; call can be retried</t>
        </is>
      </c>
      <c r="G25" s="38" t="inlineStr">
        <is>
          <t>Medium</t>
        </is>
      </c>
      <c r="H25" s="45" t="inlineStr">
        <is>
          <t>PASS</t>
        </is>
      </c>
      <c r="I25" s="39" t="inlineStr">
        <is>
          <t>2026-09-17: emulator — incoming voice call rang 45 s unanswered, screen closed; caller got call:missed</t>
        </is>
      </c>
    </row>
    <row r="26" ht="50" customHeight="1">
      <c r="A26" s="41" t="inlineStr">
        <is>
          <t>CALL-06</t>
        </is>
      </c>
      <c r="B26" s="46" t="inlineStr">
        <is>
          <t>Beyond SRS</t>
        </is>
      </c>
      <c r="C26" s="43" t="inlineStr">
        <is>
          <t>Security</t>
        </is>
      </c>
      <c r="D26" s="43" t="inlineStr">
        <is>
          <t>Responder calls are tied to the open emergency</t>
        </is>
      </c>
      <c r="E26" s="43" t="inlineStr">
        <is>
          <t>1. Patient calls responder during the emergency
2. Responder resolves
3. Patient calls again</t>
        </is>
      </c>
      <c r="F26" s="43" t="inlineStr">
        <is>
          <t>Call ends for both when resolved; new call refused</t>
        </is>
      </c>
      <c r="G26" s="42" t="inlineStr">
        <is>
          <t>Critical</t>
        </is>
      </c>
      <c r="H26" s="45" t="inlineStr">
        <is>
          <t>PASS</t>
        </is>
      </c>
      <c r="I26" s="43" t="inlineStr">
        <is>
          <t>2026-09-17: call_signal_e2e — responder callable only during the emergency; resolve ends the call for both (EMERGENCY_ENDED); emulator: connected voice call closed on resolve</t>
        </is>
      </c>
    </row>
    <row r="27" ht="40" customHeight="1">
      <c r="A27" s="37" t="inlineStr">
        <is>
          <t>CALL-07</t>
        </is>
      </c>
      <c r="B27" s="44" t="inlineStr">
        <is>
          <t>Beyond SRS</t>
        </is>
      </c>
      <c r="C27" s="39" t="inlineStr">
        <is>
          <t>Audit</t>
        </is>
      </c>
      <c r="D27" s="39" t="inlineStr">
        <is>
          <t>Call start/end/decline/miss are recorded in the audit log</t>
        </is>
      </c>
      <c r="E27" s="39" t="inlineStr">
        <is>
          <t>Make and end a call; check AuditLog entity=Call</t>
        </is>
      </c>
      <c r="F27" s="39" t="inlineStr">
        <is>
          <t>Rows with caller, callee, media, duration</t>
        </is>
      </c>
      <c r="G27" s="38" t="inlineStr">
        <is>
          <t>Medium</t>
        </is>
      </c>
      <c r="H27" s="45" t="inlineStr">
        <is>
          <t>PASS</t>
        </is>
      </c>
      <c r="I27" s="39" t="inlineStr">
        <is>
          <t>2026-09-17: call_signal_e2e — call events written to AuditLog</t>
        </is>
      </c>
    </row>
    <row r="28" ht="40" customHeight="1">
      <c r="A28" s="41" t="inlineStr">
        <is>
          <t>CALL-08</t>
        </is>
      </c>
      <c r="B28" s="46" t="inlineStr">
        <is>
          <t>Beyond SRS</t>
        </is>
      </c>
      <c r="C28" s="43" t="inlineStr">
        <is>
          <t>App</t>
        </is>
      </c>
      <c r="D28" s="43" t="inlineStr">
        <is>
          <t>Voice call connects with audio both ways</t>
        </is>
      </c>
      <c r="E28" s="43" t="inlineStr">
        <is>
          <t>Two devices: patient calls caregiver and both speak</t>
        </is>
      </c>
      <c r="F28" s="43" t="inlineStr">
        <is>
          <t>Both hear each other; mute and speaker work; timer runs</t>
        </is>
      </c>
      <c r="G28" s="42" t="inlineStr">
        <is>
          <t>Critical</t>
        </is>
      </c>
      <c r="H28" s="45" t="inlineStr">
        <is>
          <t>PASS</t>
        </is>
      </c>
      <c r="I28" s="43" t="inlineStr">
        <is>
          <t>2026-09-17: emulator ↔ browser peer — voice call accepted, timer running, audio bytes flowing both ways. Fixed: offer arriving while the camera started was dropped (now queued), stuck on "Connecting…" (now polls ICE state)</t>
        </is>
      </c>
    </row>
    <row r="29" ht="40" customHeight="1">
      <c r="A29" s="37" t="inlineStr">
        <is>
          <t>CALL-09</t>
        </is>
      </c>
      <c r="B29" s="44" t="inlineStr">
        <is>
          <t>Beyond SRS</t>
        </is>
      </c>
      <c r="C29" s="39" t="inlineStr">
        <is>
          <t>App</t>
        </is>
      </c>
      <c r="D29" s="39" t="inlineStr">
        <is>
          <t>Video call shows the remote video and local preview</t>
        </is>
      </c>
      <c r="E29" s="39" t="inlineStr">
        <is>
          <t>Start a video call; toggle camera, switch camera, mute</t>
        </is>
      </c>
      <c r="F29" s="39" t="inlineStr">
        <is>
          <t>Remote video full screen, own preview small; controls work</t>
        </is>
      </c>
      <c r="G29" s="38" t="inlineStr">
        <is>
          <t>High</t>
        </is>
      </c>
      <c r="H29" s="45" t="inlineStr">
        <is>
          <t>PASS</t>
        </is>
      </c>
      <c r="I29" s="39" t="inlineStr">
        <is>
          <t>2026-09-17: emulator ↔ browser peer — video call, remote video decoded (158 frames) and local preview shown. Fixed: emulator crash on video (run emulator without Vulkan)</t>
        </is>
      </c>
    </row>
    <row r="30" ht="40" customHeight="1">
      <c r="A30" s="41" t="inlineStr">
        <is>
          <t>CALL-10</t>
        </is>
      </c>
      <c r="B30" s="46" t="inlineStr">
        <is>
          <t>Beyond SRS</t>
        </is>
      </c>
      <c r="C30" s="43" t="inlineStr">
        <is>
          <t>App</t>
        </is>
      </c>
      <c r="D30" s="43" t="inlineStr">
        <is>
          <t>Incoming call reaches a phone with the app in the background</t>
        </is>
      </c>
      <c r="E30" s="43" t="inlineStr">
        <is>
          <t>Put the callee app in background; call it</t>
        </is>
      </c>
      <c r="F30" s="43" t="inlineStr">
        <is>
          <t>Notification appears; tapping opens the ringing call screen</t>
        </is>
      </c>
      <c r="G30" s="42" t="inlineStr">
        <is>
          <t>High</t>
        </is>
      </c>
      <c r="H30" s="45" t="inlineStr">
        <is>
          <t>PASS</t>
        </is>
      </c>
      <c r="I30" s="43" t="inlineStr">
        <is>
          <t>2026-09-17: app in background — "Incoming video call / Sara Malik is calling you" notification; tapping it opens the Accept/Decline screen</t>
        </is>
      </c>
    </row>
    <row r="31" ht="40" customHeight="1">
      <c r="A31" s="37" t="inlineStr">
        <is>
          <t>CALL-11</t>
        </is>
      </c>
      <c r="B31" s="38" t="inlineStr">
        <is>
          <t>FR3.1</t>
        </is>
      </c>
      <c r="C31" s="39" t="inlineStr">
        <is>
          <t>Accessibility</t>
        </is>
      </c>
      <c r="D31" s="39" t="inlineStr">
        <is>
          <t>Deaf patient sees only video call buttons and a visual incoming-call alert</t>
        </is>
      </c>
      <c r="E31" s="39" t="inlineStr">
        <is>
          <t>Deaf patient receives a video call</t>
        </is>
      </c>
      <c r="F31" s="39" t="inlineStr">
        <is>
          <t>Flashing screen and vibration; accept/decline buttons</t>
        </is>
      </c>
      <c r="G31" s="38" t="inlineStr">
        <is>
          <t>High</t>
        </is>
      </c>
      <c r="H31" s="45" t="inlineStr">
        <is>
          <t>PASS</t>
        </is>
      </c>
      <c r="I31" s="39" t="inlineStr">
        <is>
          <t>2026-09-17: Deaf patient — chat header and tracking show only Video call; voice call refused (VIDEO_ONLY); incoming video connects with remote video</t>
        </is>
      </c>
    </row>
    <row r="32" ht="18" customHeight="1">
      <c r="A32" s="36" t="inlineStr">
        <is>
          <t xml:space="preserve">  PERFORMANCE &amp; AI</t>
        </is>
      </c>
    </row>
    <row r="33" ht="40" customHeight="1">
      <c r="A33" s="37" t="inlineStr">
        <is>
          <t>PERF-01</t>
        </is>
      </c>
      <c r="B33" s="38" t="inlineStr">
        <is>
          <t>FR8.4</t>
        </is>
      </c>
      <c r="C33" s="39" t="inlineStr">
        <is>
          <t>Performance</t>
        </is>
      </c>
      <c r="D33" s="39" t="inlineStr">
        <is>
          <t>SOS countdown opens immediately after Send SOS</t>
        </is>
      </c>
      <c r="E33" s="39" t="inlineStr">
        <is>
          <t>Send SOS with location already known</t>
        </is>
      </c>
      <c r="F33" s="39" t="inlineStr">
        <is>
          <t>Countdown visible within 1 s (location refined during the countdown)</t>
        </is>
      </c>
      <c r="G33" s="38" t="inlineStr">
        <is>
          <t>High</t>
        </is>
      </c>
      <c r="H33" s="45" t="inlineStr">
        <is>
          <t>PASS</t>
        </is>
      </c>
      <c r="I33" s="39" t="inlineStr">
        <is>
          <t>2026-09-17: emulator recording — countdown visible ~0.1 s after Send SOS (was 8–10 s waiting for GPS)</t>
        </is>
      </c>
    </row>
    <row r="34" ht="40" customHeight="1">
      <c r="A34" s="41" t="inlineStr">
        <is>
          <t>PERF-02</t>
        </is>
      </c>
      <c r="B34" s="42" t="inlineStr">
        <is>
          <t>FR8.4</t>
        </is>
      </c>
      <c r="C34" s="43" t="inlineStr">
        <is>
          <t>Performance</t>
        </is>
      </c>
      <c r="D34" s="43" t="inlineStr">
        <is>
          <t>Responder reaches navigation right after accepting</t>
        </is>
      </c>
      <c r="E34" s="43" t="inlineStr">
        <is>
          <t>Accept an emergency</t>
        </is>
      </c>
      <c r="F34" s="43" t="inlineStr">
        <is>
          <t>Active emergency screen within ~1 s</t>
        </is>
      </c>
      <c r="G34" s="42" t="inlineStr">
        <is>
          <t>High</t>
        </is>
      </c>
      <c r="H34" s="45" t="inlineStr">
        <is>
          <t>PASS</t>
        </is>
      </c>
      <c r="I34" s="43" t="inlineStr">
        <is>
          <t>2026-09-17: responder reaches navigation ~1 s after Accept (was ~15 s)</t>
        </is>
      </c>
    </row>
    <row r="35" ht="40" customHeight="1">
      <c r="A35" s="37" t="inlineStr">
        <is>
          <t>PERF-03</t>
        </is>
      </c>
      <c r="B35" s="38" t="inlineStr">
        <is>
          <t>FR6.2</t>
        </is>
      </c>
      <c r="C35" s="39" t="inlineStr">
        <is>
          <t>Tracking</t>
        </is>
      </c>
      <c r="D35" s="39" t="inlineStr">
        <is>
          <t>Responder marker moves smoothly along the road</t>
        </is>
      </c>
      <c r="E35" s="39" t="inlineStr">
        <is>
          <t>Watch the tracking map during a drive</t>
        </is>
      </c>
      <c r="F35" s="39" t="inlineStr">
        <is>
          <t>No backward jumps or U-turn loops; heading follows the road</t>
        </is>
      </c>
      <c r="G35" s="38" t="inlineStr">
        <is>
          <t>Medium</t>
        </is>
      </c>
      <c r="H35" s="45" t="inlineStr">
        <is>
          <t>PASS</t>
        </is>
      </c>
      <c r="I35" s="39" t="inlineStr">
        <is>
          <t>2026-09-17: frame analysis — no backward jumps or U-turn loops; remaining ~0.3 s marker blink about every 16 s on the emulator (route redraw)</t>
        </is>
      </c>
    </row>
    <row r="36" ht="40" customHeight="1">
      <c r="A36" s="41" t="inlineStr">
        <is>
          <t>AI-01</t>
        </is>
      </c>
      <c r="B36" s="46" t="inlineStr">
        <is>
          <t>Beyond SRS</t>
        </is>
      </c>
      <c r="C36" s="43" t="inlineStr">
        <is>
          <t>AI</t>
        </is>
      </c>
      <c r="D36" s="43" t="inlineStr">
        <is>
          <t>AI symptom check suggests the emergency type</t>
        </is>
      </c>
      <c r="E36" s="43" t="inlineStr">
        <is>
          <t>Type symptoms on the emergency type screen and tap Suggest</t>
        </is>
      </c>
      <c r="F36" s="43" t="inlineStr">
        <is>
          <t>Suggested type with confidence and reason; type preselected</t>
        </is>
      </c>
      <c r="G36" s="42" t="inlineStr">
        <is>
          <t>Medium</t>
        </is>
      </c>
      <c r="H36" s="45" t="inlineStr">
        <is>
          <t>PASS</t>
        </is>
      </c>
      <c r="I36" s="43" t="inlineStr">
        <is>
          <t>2026-09-17: Gemini free tier (gemini-3.1-flash-lite) — "chest pain spreading to left arm" → Cardiac 98%, ~2 s</t>
        </is>
      </c>
    </row>
    <row r="37" ht="40" customHeight="1">
      <c r="A37" s="37" t="inlineStr">
        <is>
          <t>AI-02</t>
        </is>
      </c>
      <c r="B37" s="44" t="inlineStr">
        <is>
          <t>Beyond SRS</t>
        </is>
      </c>
      <c r="C37" s="39" t="inlineStr">
        <is>
          <t>AI</t>
        </is>
      </c>
      <c r="D37" s="39" t="inlineStr">
        <is>
          <t>AI quick replies are personalised for a Deaf patient</t>
        </is>
      </c>
      <c r="E37" s="39" t="inlineStr">
        <is>
          <t>Deaf patient opens Quick messages during an emergency</t>
        </is>
      </c>
      <c r="F37" s="39" t="inlineStr">
        <is>
          <t>Suggestions reflect the medical profile</t>
        </is>
      </c>
      <c r="G37" s="38" t="inlineStr">
        <is>
          <t>Medium</t>
        </is>
      </c>
      <c r="H37" s="45" t="inlineStr">
        <is>
          <t>PASS</t>
        </is>
      </c>
      <c r="I37" s="39" t="inlineStr">
        <is>
          <t>2026-09-17: quick replies personalised from medical profile (asthma, Salbutamol, Penicillin allergy)</t>
        </is>
      </c>
    </row>
    <row r="38" ht="18" customHeight="1">
      <c r="A38" s="36" t="inlineStr">
        <is>
          <t xml:space="preserve">  LAYOUT &amp; ORIENTATION</t>
        </is>
      </c>
    </row>
    <row r="39" ht="40" customHeight="1">
      <c r="A39" s="37" t="inlineStr">
        <is>
          <t>UX-01</t>
        </is>
      </c>
      <c r="B39" s="38" t="inlineStr">
        <is>
          <t>NFR</t>
        </is>
      </c>
      <c r="C39" s="39" t="inlineStr">
        <is>
          <t>Usability</t>
        </is>
      </c>
      <c r="D39" s="39" t="inlineStr">
        <is>
          <t>App stays in portrait when the phone is rotated</t>
        </is>
      </c>
      <c r="E39" s="39" t="inlineStr">
        <is>
          <t>Open the responder dashboard and rotate the phone</t>
        </is>
      </c>
      <c r="F39" s="39" t="inlineStr">
        <is>
          <t>Screen stays portrait; nothing squeezed or cut off</t>
        </is>
      </c>
      <c r="G39" s="38" t="inlineStr">
        <is>
          <t>High</t>
        </is>
      </c>
      <c r="H39" s="45" t="inlineStr">
        <is>
          <t>PASS</t>
        </is>
      </c>
      <c r="I39" s="39" t="inlineStr">
        <is>
          <t>2026-09-18: responder app on emulator rotated to landscape stays portrait (before: dashboard squeezed into a strip)</t>
        </is>
      </c>
    </row>
    <row r="40" ht="50" customHeight="1">
      <c r="A40" s="41" t="inlineStr">
        <is>
          <t>UX-02</t>
        </is>
      </c>
      <c r="B40" s="42" t="inlineStr">
        <is>
          <t>NFR</t>
        </is>
      </c>
      <c r="C40" s="43" t="inlineStr">
        <is>
          <t>Usability</t>
        </is>
      </c>
      <c r="D40" s="43" t="inlineStr">
        <is>
          <t>On a tablet or wide screen the app is centred, not stretched or stuck to one side</t>
        </is>
      </c>
      <c r="E40" s="43" t="inlineStr">
        <is>
          <t>Open the app on a tablet (or web/desktop)</t>
        </is>
      </c>
      <c r="F40" s="43" t="inlineStr">
        <is>
          <t>App shown as a centred column with even margins</t>
        </is>
      </c>
      <c r="G40" s="42" t="inlineStr">
        <is>
          <t>Medium</t>
        </is>
      </c>
      <c r="H40" s="45" t="inlineStr">
        <is>
          <t>PASS</t>
        </is>
      </c>
      <c r="I40" s="43" t="inlineStr">
        <is>
          <t>2026-09-18: emulator resized to 1600x2560 tablet, portrait and landscape: centred 600dp column, no stretched or one-sided layout</t>
        </is>
      </c>
    </row>
  </sheetData>
  <mergeCells count="7">
    <mergeCell ref="A15:I15"/>
    <mergeCell ref="A11:I11"/>
    <mergeCell ref="A32:I32"/>
    <mergeCell ref="A1:I1"/>
    <mergeCell ref="A3:I3"/>
    <mergeCell ref="A20:I20"/>
    <mergeCell ref="A38:I38"/>
  </mergeCells>
  <conditionalFormatting sqref="H4:H40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40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PROFILE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OWN PROFILE</t>
        </is>
      </c>
    </row>
    <row r="4" ht="78" customHeight="1">
      <c r="A4" s="37" t="inlineStr">
        <is>
          <t>PRF-01</t>
        </is>
      </c>
      <c r="B4" s="44" t="inlineStr">
        <is>
          <t>Beyond SRS</t>
        </is>
      </c>
      <c r="C4" s="39" t="inlineStr">
        <is>
          <t>Profile</t>
        </is>
      </c>
      <c r="D4" s="39" t="inlineStr">
        <is>
          <t>Any user can view and edit their own profile (name, phone, avatar)</t>
        </is>
      </c>
      <c r="E4" s="39" t="inlineStr">
        <is>
          <t>1. Log in
2. Go to Profile
3. Tap Edit
4. Change name
5. Save</t>
        </is>
      </c>
      <c r="F4" s="39" t="inlineStr">
        <is>
          <t>Profile updated; new name reflected on screen and in subsequent API calls</t>
        </is>
      </c>
      <c r="G4" s="38" t="inlineStr">
        <is>
          <t>High</t>
        </is>
      </c>
      <c r="H4" s="40" t="inlineStr">
        <is>
          <t>PENDING</t>
        </is>
      </c>
      <c r="I4" s="39" t="n"/>
    </row>
    <row r="5" ht="64" customHeight="1">
      <c r="A5" s="41" t="inlineStr">
        <is>
          <t>PRF-02</t>
        </is>
      </c>
      <c r="B5" s="46" t="inlineStr">
        <is>
          <t>Beyond SRS</t>
        </is>
      </c>
      <c r="C5" s="43" t="inlineStr">
        <is>
          <t>Profile</t>
        </is>
      </c>
      <c r="D5" s="43" t="inlineStr">
        <is>
          <t>User can upload a profile avatar image</t>
        </is>
      </c>
      <c r="E5" s="43" t="inlineStr">
        <is>
          <t>1. Go to Profile
2. Tap avatar
3. Select image from gallery
4. Save</t>
        </is>
      </c>
      <c r="F5" s="43" t="inlineStr">
        <is>
          <t>Avatar uploaded; new image shown on profile screen</t>
        </is>
      </c>
      <c r="G5" s="42" t="inlineStr">
        <is>
          <t>Medium</t>
        </is>
      </c>
      <c r="H5" s="40" t="inlineStr">
        <is>
          <t>PENDING</t>
        </is>
      </c>
      <c r="I5" s="43" t="n"/>
    </row>
    <row r="6" ht="18" customHeight="1">
      <c r="A6" s="36" t="inlineStr">
        <is>
          <t xml:space="preserve">  ACCOUNT DELETION</t>
        </is>
      </c>
    </row>
    <row r="7" ht="64" customHeight="1">
      <c r="A7" s="37" t="inlineStr">
        <is>
          <t>PRF-03</t>
        </is>
      </c>
      <c r="B7" s="44" t="inlineStr">
        <is>
          <t>Beyond SRS</t>
        </is>
      </c>
      <c r="C7" s="39" t="inlineStr">
        <is>
          <t>Account Deletion</t>
        </is>
      </c>
      <c r="D7" s="39" t="inlineStr">
        <is>
          <t>User can delete account; redirected to Login with no black screen</t>
        </is>
      </c>
      <c r="E7" s="39" t="inlineStr">
        <is>
          <t>1. Log in
2. Go to Profile Settings
3. Tap Delete Account
4. Confirm</t>
        </is>
      </c>
      <c r="F7" s="39" t="inlineStr">
        <is>
          <t>Account deleted; smooth navigation to Login screen; NO black overlay flash during transition</t>
        </is>
      </c>
      <c r="G7" s="38" t="inlineStr">
        <is>
          <t>Critical</t>
        </is>
      </c>
      <c r="H7" s="40" t="inlineStr">
        <is>
          <t>PENDING</t>
        </is>
      </c>
      <c r="I7" s="39" t="n"/>
    </row>
    <row r="8" ht="50" customHeight="1">
      <c r="A8" s="41" t="inlineStr">
        <is>
          <t>PRF-04</t>
        </is>
      </c>
      <c r="B8" s="46" t="inlineStr">
        <is>
          <t>Beyond SRS</t>
        </is>
      </c>
      <c r="C8" s="43" t="inlineStr">
        <is>
          <t>Account Deletion</t>
        </is>
      </c>
      <c r="D8" s="43" t="inlineStr">
        <is>
          <t>Confirmation dialog is shown before account deletion; cancelling keeps the account</t>
        </is>
      </c>
      <c r="E8" s="43" t="inlineStr">
        <is>
          <t>1. Profile → Delete account
2. Tap Cancel in the confirmation dialog</t>
        </is>
      </c>
      <c r="F8" s="43" t="inlineStr">
        <is>
          <t>Account is NOT deleted; user stays on Profile screen</t>
        </is>
      </c>
      <c r="G8" s="42" t="inlineStr">
        <is>
          <t>High</t>
        </is>
      </c>
      <c r="H8" s="40" t="inlineStr">
        <is>
          <t>PENDING</t>
        </is>
      </c>
      <c r="I8" s="43" t="n"/>
    </row>
    <row r="9" ht="40" customHeight="1">
      <c r="A9" s="37" t="inlineStr">
        <is>
          <t>PRF-05</t>
        </is>
      </c>
      <c r="B9" s="44" t="inlineStr">
        <is>
          <t>Beyond SRS</t>
        </is>
      </c>
      <c r="C9" s="39" t="inlineStr">
        <is>
          <t>Account Deletion</t>
        </is>
      </c>
      <c r="D9" s="39" t="inlineStr">
        <is>
          <t>After deletion, user cannot log back in with deleted credentials</t>
        </is>
      </c>
      <c r="E9" s="39" t="inlineStr">
        <is>
          <t>1. Delete account
2. Try to log in with old credentials</t>
        </is>
      </c>
      <c r="F9" s="39" t="inlineStr">
        <is>
          <t>Error "Invalid email or password"; access denied</t>
        </is>
      </c>
      <c r="G9" s="38" t="inlineStr">
        <is>
          <t>High</t>
        </is>
      </c>
      <c r="H9" s="40" t="inlineStr">
        <is>
          <t>PENDING</t>
        </is>
      </c>
      <c r="I9" s="39" t="n"/>
    </row>
  </sheetData>
  <mergeCells count="3">
    <mergeCell ref="A1:I1"/>
    <mergeCell ref="A3:I3"/>
    <mergeCell ref="A6:I6"/>
  </mergeCells>
  <conditionalFormatting sqref="H4:H9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9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ACCESSIBILITY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NORMAL PATIENT — ACCESSIBILITY</t>
        </is>
      </c>
    </row>
    <row r="4" ht="50" customHeight="1">
      <c r="A4" s="37" t="inlineStr">
        <is>
          <t>ACC-01</t>
        </is>
      </c>
      <c r="B4" s="38" t="inlineStr">
        <is>
          <t>FR3.1</t>
        </is>
      </c>
      <c r="C4" s="39" t="inlineStr">
        <is>
          <t>Accessibility</t>
        </is>
      </c>
      <c r="D4" s="39" t="inlineStr">
        <is>
          <t>Normal patient sees Voice Guidance toggle; Deaf patient does NOT</t>
        </is>
      </c>
      <c r="E4" s="39" t="inlineStr">
        <is>
          <t>1. Log in as Normal Patient → open Accessibility Settings
2. Log in as Deaf Patient → open Accessibility Settings</t>
        </is>
      </c>
      <c r="F4" s="39" t="inlineStr">
        <is>
          <t>Normal Patient: Voice Guidance toggle visible
Deaf Patient: Toggle absent</t>
        </is>
      </c>
      <c r="G4" s="38" t="inlineStr">
        <is>
          <t>High</t>
        </is>
      </c>
      <c r="H4" s="40" t="inlineStr">
        <is>
          <t>PENDING</t>
        </is>
      </c>
      <c r="I4" s="39" t="n"/>
    </row>
    <row r="5" ht="50" customHeight="1">
      <c r="A5" s="41" t="inlineStr">
        <is>
          <t>ACC-02</t>
        </is>
      </c>
      <c r="B5" s="42" t="inlineStr">
        <is>
          <t>FR3.1</t>
        </is>
      </c>
      <c r="C5" s="43" t="inlineStr">
        <is>
          <t>Accessibility</t>
        </is>
      </c>
      <c r="D5" s="43" t="inlineStr">
        <is>
          <t>Text-Only Interface toggle shown ONLY for Deaf patient</t>
        </is>
      </c>
      <c r="E5" s="43" t="inlineStr">
        <is>
          <t>1. Log in as Normal Patient → Accessibility Settings
2. Log in as Deaf Patient → Accessibility Settings</t>
        </is>
      </c>
      <c r="F5" s="43" t="inlineStr">
        <is>
          <t>Normal Patient: toggle absent
Deaf Patient: toggle present and functional</t>
        </is>
      </c>
      <c r="G5" s="42" t="inlineStr">
        <is>
          <t>High</t>
        </is>
      </c>
      <c r="H5" s="40" t="inlineStr">
        <is>
          <t>PENDING</t>
        </is>
      </c>
      <c r="I5" s="43" t="n"/>
    </row>
    <row r="6" ht="18" customHeight="1">
      <c r="A6" s="36" t="inlineStr">
        <is>
          <t xml:space="preserve">  DEAF PATIENT — ACCESSIBILITY</t>
        </is>
      </c>
    </row>
    <row r="7" ht="50" customHeight="1">
      <c r="A7" s="37" t="inlineStr">
        <is>
          <t>ACC-03</t>
        </is>
      </c>
      <c r="B7" s="38" t="inlineStr">
        <is>
          <t>FR3.4</t>
        </is>
      </c>
      <c r="C7" s="39" t="inlineStr">
        <is>
          <t>Accessibility</t>
        </is>
      </c>
      <c r="D7" s="39" t="inlineStr">
        <is>
          <t>Deaf patient sees "Communication" section with Manage Quick Phrases shortcut</t>
        </is>
      </c>
      <c r="E7" s="39" t="inlineStr">
        <is>
          <t>1. Log in as Deaf Patient
2. Open Accessibility Settings
3. Scroll to Communication section</t>
        </is>
      </c>
      <c r="F7" s="39" t="inlineStr">
        <is>
          <t>"Manage Quick Phrases" card visible; tapping navigates to /predefined-messages</t>
        </is>
      </c>
      <c r="G7" s="38" t="inlineStr">
        <is>
          <t>High</t>
        </is>
      </c>
      <c r="H7" s="40" t="inlineStr">
        <is>
          <t>PENDING</t>
        </is>
      </c>
      <c r="I7" s="39" t="n"/>
    </row>
    <row r="8" ht="50" customHeight="1">
      <c r="A8" s="41" t="inlineStr">
        <is>
          <t>ACC-04</t>
        </is>
      </c>
      <c r="B8" s="42" t="inlineStr">
        <is>
          <t>FR3.1</t>
        </is>
      </c>
      <c r="C8" s="43" t="inlineStr">
        <is>
          <t>Accessibility</t>
        </is>
      </c>
      <c r="D8" s="43" t="inlineStr">
        <is>
          <t>Deaf patient tip card shows "Deaf Mode Tips" with vibration advice</t>
        </is>
      </c>
      <c r="E8" s="43" t="inlineStr">
        <is>
          <t>1. Log in as Deaf Patient
2. Open Accessibility Settings
3. Scroll to tip card</t>
        </is>
      </c>
      <c r="F8" s="43" t="inlineStr">
        <is>
          <t>Tip card title: "Deaf Mode Tips"; content mentions vibration and visual alerts</t>
        </is>
      </c>
      <c r="G8" s="42" t="inlineStr">
        <is>
          <t>Medium</t>
        </is>
      </c>
      <c r="H8" s="40" t="inlineStr">
        <is>
          <t>PENDING</t>
        </is>
      </c>
      <c r="I8" s="43" t="n"/>
    </row>
    <row r="9" ht="18" customHeight="1">
      <c r="A9" s="36" t="inlineStr">
        <is>
          <t xml:space="preserve">  RESPONDER — ACCESSIBILITY</t>
        </is>
      </c>
    </row>
    <row r="10" ht="50" customHeight="1">
      <c r="A10" s="37" t="inlineStr">
        <is>
          <t>ACC-05</t>
        </is>
      </c>
      <c r="B10" s="38" t="inlineStr">
        <is>
          <t>FR5.2</t>
        </is>
      </c>
      <c r="C10" s="39" t="inlineStr">
        <is>
          <t>Accessibility</t>
        </is>
      </c>
      <c r="D10" s="39" t="inlineStr">
        <is>
          <t>Responder sees "Voice Alerts" section with Hands-Free Voice Alerts toggle</t>
        </is>
      </c>
      <c r="E10" s="39" t="inlineStr">
        <is>
          <t>1. Log in as Responder
2. Open Accessibility Settings</t>
        </is>
      </c>
      <c r="F10" s="39" t="inlineStr">
        <is>
          <t>"Voice Alerts" section visible; toggle labelled "Hands-Free Voice Alerts"</t>
        </is>
      </c>
      <c r="G10" s="38" t="inlineStr">
        <is>
          <t>High</t>
        </is>
      </c>
      <c r="H10" s="40" t="inlineStr">
        <is>
          <t>PENDING</t>
        </is>
      </c>
      <c r="I10" s="39" t="n"/>
    </row>
    <row r="11" ht="50" customHeight="1">
      <c r="A11" s="41" t="inlineStr">
        <is>
          <t>ACC-06</t>
        </is>
      </c>
      <c r="B11" s="46" t="inlineStr">
        <is>
          <t>Beyond SRS</t>
        </is>
      </c>
      <c r="C11" s="43" t="inlineStr">
        <is>
          <t>Accessibility</t>
        </is>
      </c>
      <c r="D11" s="43" t="inlineStr">
        <is>
          <t>Responder tip card shows "Response Guidelines"</t>
        </is>
      </c>
      <c r="E11" s="43" t="inlineStr">
        <is>
          <t>1. Log in as Responder
2. Open Accessibility Settings
3. Scroll to tip card</t>
        </is>
      </c>
      <c r="F11" s="43" t="inlineStr">
        <is>
          <t>Tip title: "Response Guidelines"; content advises on voice alerts and vibration</t>
        </is>
      </c>
      <c r="G11" s="42" t="inlineStr">
        <is>
          <t>High</t>
        </is>
      </c>
      <c r="H11" s="40" t="inlineStr">
        <is>
          <t>PENDING</t>
        </is>
      </c>
      <c r="I11" s="43" t="n"/>
    </row>
    <row r="12" ht="18" customHeight="1">
      <c r="A12" s="36" t="inlineStr">
        <is>
          <t xml:space="preserve">  CAREGIVER — ACCESSIBILITY</t>
        </is>
      </c>
    </row>
    <row r="13" ht="40" customHeight="1">
      <c r="A13" s="37" t="inlineStr">
        <is>
          <t>ACC-07</t>
        </is>
      </c>
      <c r="B13" s="44" t="inlineStr">
        <is>
          <t>Beyond SRS</t>
        </is>
      </c>
      <c r="C13" s="39" t="inlineStr">
        <is>
          <t>Accessibility</t>
        </is>
      </c>
      <c r="D13" s="39" t="inlineStr">
        <is>
          <t>Caregiver sees "Monitoring Tips" card; no Voice Guidance section</t>
        </is>
      </c>
      <c r="E13" s="39" t="inlineStr">
        <is>
          <t>1. Log in as Caregiver
2. Open Accessibility Settings</t>
        </is>
      </c>
      <c r="F13" s="39" t="inlineStr">
        <is>
          <t>Tip card: "Monitoring Tips"; no Voice Guidance / Audio section shown</t>
        </is>
      </c>
      <c r="G13" s="38" t="inlineStr">
        <is>
          <t>Medium</t>
        </is>
      </c>
      <c r="H13" s="40" t="inlineStr">
        <is>
          <t>PENDING</t>
        </is>
      </c>
      <c r="I13" s="39" t="n"/>
    </row>
    <row r="14" ht="18" customHeight="1">
      <c r="A14" s="36" t="inlineStr">
        <is>
          <t xml:space="preserve">  UNIVERSAL ACCESSIBILITY</t>
        </is>
      </c>
    </row>
    <row r="15" ht="50" customHeight="1">
      <c r="A15" s="37" t="inlineStr">
        <is>
          <t>ACC-08</t>
        </is>
      </c>
      <c r="B15" s="38" t="inlineStr">
        <is>
          <t>FR3.2</t>
        </is>
      </c>
      <c r="C15" s="39" t="inlineStr">
        <is>
          <t>Accessibility</t>
        </is>
      </c>
      <c r="D15" s="39" t="inlineStr">
        <is>
          <t>Font size slider ranges 100%–150% and scales text app-wide without clipping</t>
        </is>
      </c>
      <c r="E15" s="39" t="inlineStr">
        <is>
          <t>1. Accessibility → Font size
2. Move to 100% then 150%
3. Visit Home, SOS, Chat, Profile</t>
        </is>
      </c>
      <c r="F15" s="39" t="inlineStr">
        <is>
          <t>Cannot go below 100%; at 150% all screens scale text with no clipped or overlapping labels</t>
        </is>
      </c>
      <c r="G15" s="38" t="inlineStr">
        <is>
          <t>Medium</t>
        </is>
      </c>
      <c r="H15" s="40" t="inlineStr">
        <is>
          <t>PENDING</t>
        </is>
      </c>
      <c r="I15" s="39" t="n"/>
    </row>
    <row r="16" ht="40" customHeight="1">
      <c r="A16" s="41" t="inlineStr">
        <is>
          <t>ACC-09</t>
        </is>
      </c>
      <c r="B16" s="42" t="inlineStr">
        <is>
          <t>FR3.2</t>
        </is>
      </c>
      <c r="C16" s="43" t="inlineStr">
        <is>
          <t>Accessibility</t>
        </is>
      </c>
      <c r="D16" s="43" t="inlineStr">
        <is>
          <t>High Contrast Mode toggle available to all roles</t>
        </is>
      </c>
      <c r="E16" s="43" t="inlineStr">
        <is>
          <t>1. Log in as any role
2. Enable High Contrast Mode</t>
        </is>
      </c>
      <c r="F16" s="43" t="inlineStr">
        <is>
          <t>UI colour scheme changes to high-contrast palette immediately</t>
        </is>
      </c>
      <c r="G16" s="42" t="inlineStr">
        <is>
          <t>Medium</t>
        </is>
      </c>
      <c r="H16" s="40" t="inlineStr">
        <is>
          <t>PENDING</t>
        </is>
      </c>
      <c r="I16" s="43" t="n"/>
    </row>
    <row r="17" ht="40" customHeight="1">
      <c r="A17" s="37" t="inlineStr">
        <is>
          <t>ACC-10</t>
        </is>
      </c>
      <c r="B17" s="38" t="inlineStr">
        <is>
          <t>FR3.5</t>
        </is>
      </c>
      <c r="C17" s="39" t="inlineStr">
        <is>
          <t>Accessibility</t>
        </is>
      </c>
      <c r="D17" s="39" t="inlineStr">
        <is>
          <t>Large Buttons Mode toggle available to all roles</t>
        </is>
      </c>
      <c r="E17" s="39" t="inlineStr">
        <is>
          <t>1. Enable Large Buttons Mode
2. Navigate through the app</t>
        </is>
      </c>
      <c r="F17" s="39" t="inlineStr">
        <is>
          <t>Tap targets visibly larger across all interactive elements</t>
        </is>
      </c>
      <c r="G17" s="38" t="inlineStr">
        <is>
          <t>Medium</t>
        </is>
      </c>
      <c r="H17" s="40" t="inlineStr">
        <is>
          <t>PENDING</t>
        </is>
      </c>
      <c r="I17" s="39" t="n"/>
    </row>
    <row r="18" ht="40" customHeight="1">
      <c r="A18" s="41" t="inlineStr">
        <is>
          <t>ACC-11</t>
        </is>
      </c>
      <c r="B18" s="46" t="inlineStr">
        <is>
          <t>Beyond SRS</t>
        </is>
      </c>
      <c r="C18" s="43" t="inlineStr">
        <is>
          <t>Accessibility</t>
        </is>
      </c>
      <c r="D18" s="43" t="inlineStr">
        <is>
          <t>"Reset to Profile Defaults" restores role-appropriate defaults</t>
        </is>
      </c>
      <c r="E18" s="43" t="inlineStr">
        <is>
          <t>1. Change multiple settings
2. Tap "Reset to Profile Defaults"</t>
        </is>
      </c>
      <c r="F18" s="43" t="inlineStr">
        <is>
          <t>Settings restored to role-appropriate defaults; SnackBar confirms reset</t>
        </is>
      </c>
      <c r="G18" s="42" t="inlineStr">
        <is>
          <t>Low</t>
        </is>
      </c>
      <c r="H18" s="40" t="inlineStr">
        <is>
          <t>PENDING</t>
        </is>
      </c>
      <c r="I18" s="43" t="n"/>
    </row>
    <row r="19" ht="18" customHeight="1">
      <c r="A19" s="36" t="inlineStr">
        <is>
          <t xml:space="preserve">  ADDED IN v2.0 — SRS GAPS &amp; NEW FEATURES</t>
        </is>
      </c>
    </row>
    <row r="20" ht="50" customHeight="1">
      <c r="A20" s="37" t="inlineStr">
        <is>
          <t>ACC-12</t>
        </is>
      </c>
      <c r="B20" s="38" t="inlineStr">
        <is>
          <t>FR3.1</t>
        </is>
      </c>
      <c r="C20" s="39" t="inlineStr">
        <is>
          <t>Deaf Mode</t>
        </is>
      </c>
      <c r="D20" s="39" t="inlineStr">
        <is>
          <t>Deaf patient gets a full-screen visual alert when help is assigned and arrives</t>
        </is>
      </c>
      <c r="E20" s="39" t="inlineStr">
        <is>
          <t>1. Deaf patient sends SOS
2. Responder accepts, then arrives</t>
        </is>
      </c>
      <c r="F20" s="39" t="inlineStr">
        <is>
          <t>Full-screen high-contrast alert with flashing border and vibration on every screen; no audio</t>
        </is>
      </c>
      <c r="G20" s="38" t="inlineStr">
        <is>
          <t>Critical</t>
        </is>
      </c>
      <c r="H20" s="40" t="inlineStr">
        <is>
          <t>PENDING</t>
        </is>
      </c>
      <c r="I20" s="39" t="n"/>
    </row>
    <row r="21" ht="50" customHeight="1">
      <c r="A21" s="41" t="inlineStr">
        <is>
          <t>ACC-13</t>
        </is>
      </c>
      <c r="B21" s="42" t="inlineStr">
        <is>
          <t>FR3.4</t>
        </is>
      </c>
      <c r="C21" s="43" t="inlineStr">
        <is>
          <t>Deaf Mode</t>
        </is>
      </c>
      <c r="D21" s="43" t="inlineStr">
        <is>
          <t>Deaf patient can show a communication card to bystanders</t>
        </is>
      </c>
      <c r="E21" s="43" t="inlineStr">
        <is>
          <t>1. Home → Show to people nearby</t>
        </is>
      </c>
      <c r="F21" s="43" t="inlineStr">
        <is>
          <t>Full-screen card: "I am deaf, please write or type", name, blood group, allergies, Call 1122</t>
        </is>
      </c>
      <c r="G21" s="42" t="inlineStr">
        <is>
          <t>High</t>
        </is>
      </c>
      <c r="H21" s="40" t="inlineStr">
        <is>
          <t>PENDING</t>
        </is>
      </c>
      <c r="I21" s="43" t="n"/>
    </row>
    <row r="22" ht="40" customHeight="1">
      <c r="A22" s="37" t="inlineStr">
        <is>
          <t>ACC-14</t>
        </is>
      </c>
      <c r="B22" s="38" t="inlineStr">
        <is>
          <t>FR3.2</t>
        </is>
      </c>
      <c r="C22" s="39" t="inlineStr">
        <is>
          <t>Display</t>
        </is>
      </c>
      <c r="D22" s="39" t="inlineStr">
        <is>
          <t>Accessibility settings are saved per user account</t>
        </is>
      </c>
      <c r="E22" s="39" t="inlineStr">
        <is>
          <t>1. Deaf patient enables settings
2. Log out, log in as another user</t>
        </is>
      </c>
      <c r="F22" s="39" t="inlineStr">
        <is>
          <t>Second user sees their own defaults, not the deaf patient's settings</t>
        </is>
      </c>
      <c r="G22" s="38" t="inlineStr">
        <is>
          <t>Medium</t>
        </is>
      </c>
      <c r="H22" s="40" t="inlineStr">
        <is>
          <t>PENDING</t>
        </is>
      </c>
      <c r="I22" s="39" t="n"/>
    </row>
  </sheetData>
  <mergeCells count="7">
    <mergeCell ref="A19:I19"/>
    <mergeCell ref="A14:I14"/>
    <mergeCell ref="A1:I1"/>
    <mergeCell ref="A9:I9"/>
    <mergeCell ref="A3:I3"/>
    <mergeCell ref="A6:I6"/>
    <mergeCell ref="A12:I12"/>
  </mergeCells>
  <conditionalFormatting sqref="H4:H22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22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NOTIFICATIONS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INDIVIDUAL NOTIFICATIONS (Admin Web Portal)</t>
        </is>
      </c>
    </row>
    <row r="4" ht="92" customHeight="1">
      <c r="A4" s="37" t="inlineStr">
        <is>
          <t>NTF-01</t>
        </is>
      </c>
      <c r="B4" s="44" t="inlineStr">
        <is>
          <t>Beyond SRS</t>
        </is>
      </c>
      <c r="C4" s="39" t="inlineStr">
        <is>
          <t>Notifications</t>
        </is>
      </c>
      <c r="D4" s="39" t="inlineStr">
        <is>
          <t>Admin can send individual notification by entering a target email address</t>
        </is>
      </c>
      <c r="E4" s="39" t="inlineStr">
        <is>
          <t>1. Log in as Admin
2. Go to System Notifications
3. Select "Individual"
4. Enter valid email
5. Fill title/body
6. Send</t>
        </is>
      </c>
      <c r="F4" s="39" t="inlineStr">
        <is>
          <t>Notification delivered only to the specified user; no other users receive it</t>
        </is>
      </c>
      <c r="G4" s="38" t="inlineStr">
        <is>
          <t>Critical</t>
        </is>
      </c>
      <c r="H4" s="40" t="inlineStr">
        <is>
          <t>PENDING</t>
        </is>
      </c>
      <c r="I4" s="39" t="n"/>
    </row>
    <row r="5" ht="50" customHeight="1">
      <c r="A5" s="41" t="inlineStr">
        <is>
          <t>NTF-02</t>
        </is>
      </c>
      <c r="B5" s="46" t="inlineStr">
        <is>
          <t>Beyond SRS</t>
        </is>
      </c>
      <c r="C5" s="43" t="inlineStr">
        <is>
          <t>Notifications</t>
        </is>
      </c>
      <c r="D5" s="43" t="inlineStr">
        <is>
          <t>Form blocks submission if Individual is selected but target email is empty</t>
        </is>
      </c>
      <c r="E5" s="43" t="inlineStr">
        <is>
          <t>1. Select recipient type = Individual
2. Leave email field blank
3. Click Send</t>
        </is>
      </c>
      <c r="F5" s="43" t="inlineStr">
        <is>
          <t>Error shown: "Please enter the target email address for individual notification"; form NOT submitted</t>
        </is>
      </c>
      <c r="G5" s="42" t="inlineStr">
        <is>
          <t>Critical</t>
        </is>
      </c>
      <c r="H5" s="40" t="inlineStr">
        <is>
          <t>PENDING</t>
        </is>
      </c>
      <c r="I5" s="43" t="n"/>
    </row>
    <row r="6" ht="40" customHeight="1">
      <c r="A6" s="37" t="inlineStr">
        <is>
          <t>NTF-03</t>
        </is>
      </c>
      <c r="B6" s="44" t="inlineStr">
        <is>
          <t>Beyond SRS</t>
        </is>
      </c>
      <c r="C6" s="39" t="inlineStr">
        <is>
          <t>Notifications</t>
        </is>
      </c>
      <c r="D6" s="39" t="inlineStr">
        <is>
          <t>Individual notification does NOT broadcast to all users</t>
        </is>
      </c>
      <c r="E6" s="39" t="inlineStr">
        <is>
          <t>1. Send individual notification to user A
2. Check user B and user C accounts</t>
        </is>
      </c>
      <c r="F6" s="39" t="inlineStr">
        <is>
          <t>Only user A receives the notification; users B and C receive nothing</t>
        </is>
      </c>
      <c r="G6" s="38" t="inlineStr">
        <is>
          <t>Critical</t>
        </is>
      </c>
      <c r="H6" s="40" t="inlineStr">
        <is>
          <t>PENDING</t>
        </is>
      </c>
      <c r="I6" s="39" t="n"/>
    </row>
    <row r="7" ht="18" customHeight="1">
      <c r="A7" s="36" t="inlineStr">
        <is>
          <t xml:space="preserve">  BROADCAST NOTIFICATIONS</t>
        </is>
      </c>
    </row>
    <row r="8" ht="50" customHeight="1">
      <c r="A8" s="37" t="inlineStr">
        <is>
          <t>NTF-04</t>
        </is>
      </c>
      <c r="B8" s="44" t="inlineStr">
        <is>
          <t>Beyond SRS</t>
        </is>
      </c>
      <c r="C8" s="39" t="inlineStr">
        <is>
          <t>Notifications</t>
        </is>
      </c>
      <c r="D8" s="39" t="inlineStr">
        <is>
          <t>Admin can broadcast to ALL users</t>
        </is>
      </c>
      <c r="E8" s="39" t="inlineStr">
        <is>
          <t>1. Select recipient type = All
2. Fill title/body
3. Send</t>
        </is>
      </c>
      <c r="F8" s="39" t="inlineStr">
        <is>
          <t>All registered users receive in-app and/or push notification</t>
        </is>
      </c>
      <c r="G8" s="38" t="inlineStr">
        <is>
          <t>High</t>
        </is>
      </c>
      <c r="H8" s="40" t="inlineStr">
        <is>
          <t>PENDING</t>
        </is>
      </c>
      <c r="I8" s="39" t="n"/>
    </row>
    <row r="9" ht="40" customHeight="1">
      <c r="A9" s="41" t="inlineStr">
        <is>
          <t>NTF-05</t>
        </is>
      </c>
      <c r="B9" s="46" t="inlineStr">
        <is>
          <t>Beyond SRS</t>
        </is>
      </c>
      <c r="C9" s="43" t="inlineStr">
        <is>
          <t>Notifications</t>
        </is>
      </c>
      <c r="D9" s="43" t="inlineStr">
        <is>
          <t>Admin can broadcast to a specific role (Patient/Responder/Caregiver)</t>
        </is>
      </c>
      <c r="E9" s="43" t="inlineStr">
        <is>
          <t>1. Select recipient type = Patient
2. Send notification</t>
        </is>
      </c>
      <c r="F9" s="43" t="inlineStr">
        <is>
          <t>Only Patient-role accounts receive the notification</t>
        </is>
      </c>
      <c r="G9" s="42" t="inlineStr">
        <is>
          <t>High</t>
        </is>
      </c>
      <c r="H9" s="40" t="inlineStr">
        <is>
          <t>PENDING</t>
        </is>
      </c>
      <c r="I9" s="43" t="n"/>
    </row>
    <row r="10" ht="18" customHeight="1">
      <c r="A10" s="36" t="inlineStr">
        <is>
          <t xml:space="preserve">  IN-APP NOTIFICATIONS</t>
        </is>
      </c>
    </row>
    <row r="11" ht="64" customHeight="1">
      <c r="A11" s="37" t="inlineStr">
        <is>
          <t>NTF-06</t>
        </is>
      </c>
      <c r="B11" s="38" t="inlineStr">
        <is>
          <t>FR7.4</t>
        </is>
      </c>
      <c r="C11" s="39" t="inlineStr">
        <is>
          <t>Notifications</t>
        </is>
      </c>
      <c r="D11" s="39" t="inlineStr">
        <is>
          <t>In-app notification appears without restart and new chat messages vibrate</t>
        </is>
      </c>
      <c r="E11" s="39" t="inlineStr">
        <is>
          <t>1. Have app open
2. Admin sends individual notification to logged-in user</t>
        </is>
      </c>
      <c r="F11" s="39" t="inlineStr">
        <is>
          <t>Bell badge increments and the item appears within 3 s; device vibrates for new messages when vibration is enabled</t>
        </is>
      </c>
      <c r="G11" s="38" t="inlineStr">
        <is>
          <t>High</t>
        </is>
      </c>
      <c r="H11" s="40" t="inlineStr">
        <is>
          <t>PENDING</t>
        </is>
      </c>
      <c r="I11" s="39" t="n"/>
    </row>
    <row r="12" ht="40" customHeight="1">
      <c r="A12" s="41" t="inlineStr">
        <is>
          <t>NTF-07</t>
        </is>
      </c>
      <c r="B12" s="46" t="inlineStr">
        <is>
          <t>Beyond SRS</t>
        </is>
      </c>
      <c r="C12" s="43" t="inlineStr">
        <is>
          <t>Notifications</t>
        </is>
      </c>
      <c r="D12" s="43" t="inlineStr">
        <is>
          <t>Notification history logged in admin broadcast history</t>
        </is>
      </c>
      <c r="E12" s="43" t="inlineStr">
        <is>
          <t>1. Send any notification
2. Go to Notification History tab in admin portal</t>
        </is>
      </c>
      <c r="F12" s="43" t="inlineStr">
        <is>
          <t>New entry visible with recipient group, title, timestamp, and status</t>
        </is>
      </c>
      <c r="G12" s="42" t="inlineStr">
        <is>
          <t>Medium</t>
        </is>
      </c>
      <c r="H12" s="40" t="inlineStr">
        <is>
          <t>PENDING</t>
        </is>
      </c>
      <c r="I12" s="43" t="n"/>
    </row>
    <row r="13" ht="18" customHeight="1">
      <c r="A13" s="36" t="inlineStr">
        <is>
          <t xml:space="preserve">  AI DRAFT GENERATION</t>
        </is>
      </c>
    </row>
    <row r="14" ht="50" customHeight="1">
      <c r="A14" s="37" t="inlineStr">
        <is>
          <t>NTF-08</t>
        </is>
      </c>
      <c r="B14" s="44" t="inlineStr">
        <is>
          <t>Beyond SRS</t>
        </is>
      </c>
      <c r="C14" s="39" t="inlineStr">
        <is>
          <t>AI Draft</t>
        </is>
      </c>
      <c r="D14" s="39" t="inlineStr">
        <is>
          <t>Admin can use AI to generate notification title and body from a prompt</t>
        </is>
      </c>
      <c r="E14" s="39" t="inlineStr">
        <is>
          <t>1. Enter AI prompt
2. Click Generate Draft</t>
        </is>
      </c>
      <c r="F14" s="39" t="inlineStr">
        <is>
          <t>Title and body fields populated with AI-generated content; editable before sending</t>
        </is>
      </c>
      <c r="G14" s="38" t="inlineStr">
        <is>
          <t>Low</t>
        </is>
      </c>
      <c r="H14" s="40" t="inlineStr">
        <is>
          <t>PENDING</t>
        </is>
      </c>
      <c r="I14" s="39" t="n"/>
    </row>
    <row r="15" ht="18" customHeight="1">
      <c r="A15" s="36" t="inlineStr">
        <is>
          <t xml:space="preserve">  ADDED IN v2.0 — SRS GAPS &amp; NEW FEATURES</t>
        </is>
      </c>
    </row>
    <row r="16" ht="50" customHeight="1">
      <c r="A16" s="37" t="inlineStr">
        <is>
          <t>NTF-09</t>
        </is>
      </c>
      <c r="B16" s="44" t="inlineStr">
        <is>
          <t>Beyond SRS</t>
        </is>
      </c>
      <c r="C16" s="39" t="inlineStr">
        <is>
          <t>Push Service</t>
        </is>
      </c>
      <c r="D16" s="39" t="inlineStr">
        <is>
          <t>Push notifications arrive when the app is closed (self-hosted, no Firebase)</t>
        </is>
      </c>
      <c r="E16" s="39" t="inlineStr">
        <is>
          <t>1. Log in, allow notifications and background activity
2. Close the app
3. Trigger a notification</t>
        </is>
      </c>
      <c r="F16" s="39" t="inlineStr">
        <is>
          <t>System notification appears; "MediFind emergency alerts are active" service notification present</t>
        </is>
      </c>
      <c r="G16" s="38" t="inlineStr">
        <is>
          <t>Critical</t>
        </is>
      </c>
      <c r="H16" s="40" t="inlineStr">
        <is>
          <t>PENDING</t>
        </is>
      </c>
      <c r="I16" s="39" t="n"/>
    </row>
    <row r="17" ht="50" customHeight="1">
      <c r="A17" s="41" t="inlineStr">
        <is>
          <t>NTF-10</t>
        </is>
      </c>
      <c r="B17" s="46" t="inlineStr">
        <is>
          <t>Beyond SRS</t>
        </is>
      </c>
      <c r="C17" s="43" t="inlineStr">
        <is>
          <t>Push Service</t>
        </is>
      </c>
      <c r="D17" s="43" t="inlineStr">
        <is>
          <t>Notifications missed while offline are delivered after reconnect</t>
        </is>
      </c>
      <c r="E17" s="43" t="inlineStr">
        <is>
          <t>1. Turn off internet
2. Send a notification to the user
3. Reconnect</t>
        </is>
      </c>
      <c r="F17" s="43" t="inlineStr">
        <is>
          <t>Notification delivered once after reconnect; admin Comm Audit status changes pending → delivered</t>
        </is>
      </c>
      <c r="G17" s="42" t="inlineStr">
        <is>
          <t>High</t>
        </is>
      </c>
      <c r="H17" s="40" t="inlineStr">
        <is>
          <t>PENDING</t>
        </is>
      </c>
      <c r="I17" s="43" t="n"/>
    </row>
    <row r="18" ht="50" customHeight="1">
      <c r="A18" s="37" t="inlineStr">
        <is>
          <t>NTF-11</t>
        </is>
      </c>
      <c r="B18" s="44" t="inlineStr">
        <is>
          <t>Beyond SRS</t>
        </is>
      </c>
      <c r="C18" s="39" t="inlineStr">
        <is>
          <t>Push Service</t>
        </is>
      </c>
      <c r="D18" s="39" t="inlineStr">
        <is>
          <t>Tapping a notification opens the correct screen for the role</t>
        </is>
      </c>
      <c r="E18" s="39" t="inlineStr">
        <is>
          <t>1. Tap SOS (responder), patient emergency (caregiver), chat message</t>
        </is>
      </c>
      <c r="F18" s="39" t="inlineStr">
        <is>
          <t>Opens request screen, live tracking, chat room respectively — also from a closed app</t>
        </is>
      </c>
      <c r="G18" s="38" t="inlineStr">
        <is>
          <t>High</t>
        </is>
      </c>
      <c r="H18" s="40" t="inlineStr">
        <is>
          <t>PENDING</t>
        </is>
      </c>
      <c r="I18" s="39" t="n"/>
    </row>
    <row r="19" ht="40" customHeight="1">
      <c r="A19" s="41" t="inlineStr">
        <is>
          <t>NTF-12</t>
        </is>
      </c>
      <c r="B19" s="46" t="inlineStr">
        <is>
          <t>Beyond SRS</t>
        </is>
      </c>
      <c r="C19" s="43" t="inlineStr">
        <is>
          <t>Push Service</t>
        </is>
      </c>
      <c r="D19" s="43" t="inlineStr">
        <is>
          <t>Expired emergency alerts are never shown late</t>
        </is>
      </c>
      <c r="E19" s="43" t="inlineStr">
        <is>
          <t>1. Keep device offline &gt; 10 minutes after an SOS alert
2. Reconnect</t>
        </is>
      </c>
      <c r="F19" s="43" t="inlineStr">
        <is>
          <t>The stale SOS alert is not shown</t>
        </is>
      </c>
      <c r="G19" s="42" t="inlineStr">
        <is>
          <t>Medium</t>
        </is>
      </c>
      <c r="H19" s="40" t="inlineStr">
        <is>
          <t>PENDING</t>
        </is>
      </c>
      <c r="I19" s="43" t="n"/>
    </row>
  </sheetData>
  <mergeCells count="6">
    <mergeCell ref="A15:I15"/>
    <mergeCell ref="A7:I7"/>
    <mergeCell ref="A10:I10"/>
    <mergeCell ref="A13:I13"/>
    <mergeCell ref="A1:I1"/>
    <mergeCell ref="A3:I3"/>
  </mergeCells>
  <conditionalFormatting sqref="H4:H19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19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NAVIGATION_UI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NAVIGATION &amp; LAYOUT</t>
        </is>
      </c>
    </row>
    <row r="4" ht="50" customHeight="1">
      <c r="A4" s="37" t="inlineStr">
        <is>
          <t>NAV-01</t>
        </is>
      </c>
      <c r="B4" s="38" t="inlineStr">
        <is>
          <t>FR8.1</t>
        </is>
      </c>
      <c r="C4" s="39" t="inlineStr">
        <is>
          <t>Drawer</t>
        </is>
      </c>
      <c r="D4" s="39" t="inlineStr">
        <is>
          <t>Each role has a unified sidebar (AppDrawer) with role-specific items</t>
        </is>
      </c>
      <c r="E4" s="39" t="inlineStr">
        <is>
          <t>Open the menu as patient, caregiver and responder</t>
        </is>
      </c>
      <c r="F4" s="39" t="inlineStr">
        <is>
          <t>Drawer opens from the header menu button with the correct items per role</t>
        </is>
      </c>
      <c r="G4" s="38" t="inlineStr">
        <is>
          <t>High</t>
        </is>
      </c>
      <c r="H4" s="40" t="inlineStr">
        <is>
          <t>PENDING</t>
        </is>
      </c>
      <c r="I4" s="39" t="n"/>
    </row>
    <row r="5" ht="50" customHeight="1">
      <c r="A5" s="41" t="inlineStr">
        <is>
          <t>NAV-02</t>
        </is>
      </c>
      <c r="B5" s="42" t="inlineStr">
        <is>
          <t>FR8.2</t>
        </is>
      </c>
      <c r="C5" s="43" t="inlineStr">
        <is>
          <t>Routing</t>
        </is>
      </c>
      <c r="D5" s="43" t="inlineStr">
        <is>
          <t>Switching tabs preserves each tab's state and back navigation works</t>
        </is>
      </c>
      <c r="E5" s="43" t="inlineStr">
        <is>
          <t>1. Scroll a list in tab A
2. Switch to tab B and back
3. Use system back</t>
        </is>
      </c>
      <c r="F5" s="43" t="inlineStr">
        <is>
          <t>Scroll position/state kept; back returns to the previous screen without flicker</t>
        </is>
      </c>
      <c r="G5" s="42" t="inlineStr">
        <is>
          <t>Medium</t>
        </is>
      </c>
      <c r="H5" s="40" t="inlineStr">
        <is>
          <t>PENDING</t>
        </is>
      </c>
      <c r="I5" s="43" t="n"/>
    </row>
    <row r="6" ht="50" customHeight="1">
      <c r="A6" s="37" t="inlineStr">
        <is>
          <t>NAV-03</t>
        </is>
      </c>
      <c r="B6" s="38" t="inlineStr">
        <is>
          <t>FR8.3</t>
        </is>
      </c>
      <c r="C6" s="39" t="inlineStr">
        <is>
          <t>Dashboard</t>
        </is>
      </c>
      <c r="D6" s="39" t="inlineStr">
        <is>
          <t>Role dashboards show quick action grids</t>
        </is>
      </c>
      <c r="E6" s="39" t="inlineStr">
        <is>
          <t>Open Home as each role</t>
        </is>
      </c>
      <c r="F6" s="39" t="inlineStr">
        <is>
          <t>Grid of labelled actions (e.g. Medical ID, Contacts, Caregivers, Messages) navigating correctly</t>
        </is>
      </c>
      <c r="G6" s="38" t="inlineStr">
        <is>
          <t>Medium</t>
        </is>
      </c>
      <c r="H6" s="40" t="inlineStr">
        <is>
          <t>PENDING</t>
        </is>
      </c>
      <c r="I6" s="39" t="n"/>
    </row>
    <row r="7" ht="50" customHeight="1">
      <c r="A7" s="41" t="inlineStr">
        <is>
          <t>NAV-04</t>
        </is>
      </c>
      <c r="B7" s="42" t="inlineStr">
        <is>
          <t>FR8.4</t>
        </is>
      </c>
      <c r="C7" s="43" t="inlineStr">
        <is>
          <t>Performance</t>
        </is>
      </c>
      <c r="D7" s="43" t="inlineStr">
        <is>
          <t>Map and chat screens render smoothly (~60 FPS)</t>
        </is>
      </c>
      <c r="E7" s="43" t="inlineStr">
        <is>
          <t>1. flutter run --profile
2. Enable performance overlay
3. Scroll chat with 100+ messages and watch live tracking for 1 minute</t>
        </is>
      </c>
      <c r="F7" s="43" t="inlineStr">
        <is>
          <t>No sustained red frames in the UI/raster graphs</t>
        </is>
      </c>
      <c r="G7" s="42" t="inlineStr">
        <is>
          <t>Medium</t>
        </is>
      </c>
      <c r="H7" s="40" t="inlineStr">
        <is>
          <t>PENDING</t>
        </is>
      </c>
      <c r="I7" s="43" t="n"/>
    </row>
    <row r="8" ht="40" customHeight="1">
      <c r="A8" s="37" t="inlineStr">
        <is>
          <t>NAV-05</t>
        </is>
      </c>
      <c r="B8" s="38" t="inlineStr">
        <is>
          <t>FR3.5</t>
        </is>
      </c>
      <c r="C8" s="39" t="inlineStr">
        <is>
          <t>Touch targets</t>
        </is>
      </c>
      <c r="D8" s="39" t="inlineStr">
        <is>
          <t>Large buttons mode enlarges tap targets across screens</t>
        </is>
      </c>
      <c r="E8" s="39" t="inlineStr">
        <is>
          <t>Enable Large buttons, visit Home, SOS, Chat</t>
        </is>
      </c>
      <c r="F8" s="39" t="inlineStr">
        <is>
          <t>Primary actions visibly larger (≥ 56 dp)</t>
        </is>
      </c>
      <c r="G8" s="38" t="inlineStr">
        <is>
          <t>Medium</t>
        </is>
      </c>
      <c r="H8" s="40" t="inlineStr">
        <is>
          <t>PENDING</t>
        </is>
      </c>
      <c r="I8" s="39" t="n"/>
    </row>
  </sheetData>
  <mergeCells count="2">
    <mergeCell ref="A1:I1"/>
    <mergeCell ref="A3:I3"/>
  </mergeCells>
  <conditionalFormatting sqref="H4:H8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8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ADMIN_PORTAL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USER MANAGEMENT</t>
        </is>
      </c>
    </row>
    <row r="4" ht="50" customHeight="1">
      <c r="A4" s="37" t="inlineStr">
        <is>
          <t>ADM-01</t>
        </is>
      </c>
      <c r="B4" s="38" t="inlineStr">
        <is>
          <t>FR9.2</t>
        </is>
      </c>
      <c r="C4" s="39" t="inlineStr">
        <is>
          <t>User Management</t>
        </is>
      </c>
      <c r="D4" s="39" t="inlineStr">
        <is>
          <t>Admin can view all registered users with role, status, and join date</t>
        </is>
      </c>
      <c r="E4" s="39" t="inlineStr">
        <is>
          <t>1. Log in as Admin
2. Navigate to User Management</t>
        </is>
      </c>
      <c r="F4" s="39" t="inlineStr">
        <is>
          <t>Paginated table showing all users with columns: name, email, role, status, joined date</t>
        </is>
      </c>
      <c r="G4" s="38" t="inlineStr">
        <is>
          <t>High</t>
        </is>
      </c>
      <c r="H4" s="40" t="inlineStr">
        <is>
          <t>PENDING</t>
        </is>
      </c>
      <c r="I4" s="39" t="n"/>
    </row>
    <row r="5" ht="40" customHeight="1">
      <c r="A5" s="41" t="inlineStr">
        <is>
          <t>ADM-02</t>
        </is>
      </c>
      <c r="B5" s="42" t="inlineStr">
        <is>
          <t>FR9.2</t>
        </is>
      </c>
      <c r="C5" s="43" t="inlineStr">
        <is>
          <t>User Management</t>
        </is>
      </c>
      <c r="D5" s="43" t="inlineStr">
        <is>
          <t>Admin can search users by name or email</t>
        </is>
      </c>
      <c r="E5" s="43" t="inlineStr">
        <is>
          <t>1. Enter partial email in search box</t>
        </is>
      </c>
      <c r="F5" s="43" t="inlineStr">
        <is>
          <t>Table filters to matching users in real-time</t>
        </is>
      </c>
      <c r="G5" s="42" t="inlineStr">
        <is>
          <t>High</t>
        </is>
      </c>
      <c r="H5" s="40" t="inlineStr">
        <is>
          <t>PENDING</t>
        </is>
      </c>
      <c r="I5" s="43" t="n"/>
    </row>
    <row r="6" ht="40" customHeight="1">
      <c r="A6" s="37" t="inlineStr">
        <is>
          <t>ADM-03</t>
        </is>
      </c>
      <c r="B6" s="38" t="inlineStr">
        <is>
          <t>FR9.3</t>
        </is>
      </c>
      <c r="C6" s="39" t="inlineStr">
        <is>
          <t>User Management</t>
        </is>
      </c>
      <c r="D6" s="39" t="inlineStr">
        <is>
          <t>Admin can deactivate / suspend a user account</t>
        </is>
      </c>
      <c r="E6" s="39" t="inlineStr">
        <is>
          <t>1. Find user
2. Change status to Suspended</t>
        </is>
      </c>
      <c r="F6" s="39" t="inlineStr">
        <is>
          <t>User can no longer log in; account status updated in table</t>
        </is>
      </c>
      <c r="G6" s="38" t="inlineStr">
        <is>
          <t>Medium</t>
        </is>
      </c>
      <c r="H6" s="40" t="inlineStr">
        <is>
          <t>PENDING</t>
        </is>
      </c>
      <c r="I6" s="39" t="n"/>
    </row>
    <row r="7" ht="18" customHeight="1">
      <c r="A7" s="36" t="inlineStr">
        <is>
          <t xml:space="preserve">  RESPONDER VERIFICATION</t>
        </is>
      </c>
    </row>
    <row r="8" ht="50" customHeight="1">
      <c r="A8" s="37" t="inlineStr">
        <is>
          <t>ADM-04</t>
        </is>
      </c>
      <c r="B8" s="38" t="inlineStr">
        <is>
          <t>FR9.5</t>
        </is>
      </c>
      <c r="C8" s="39" t="inlineStr">
        <is>
          <t>Verification</t>
        </is>
      </c>
      <c r="D8" s="39" t="inlineStr">
        <is>
          <t>Admin can approve or reject a pending responder application</t>
        </is>
      </c>
      <c r="E8" s="39" t="inlineStr">
        <is>
          <t>1. Go to Responder Verification
2. View pending applicant
3. Approve</t>
        </is>
      </c>
      <c r="F8" s="39" t="inlineStr">
        <is>
          <t>Responder status set to ACTIVE; responder can now receive emergency alerts</t>
        </is>
      </c>
      <c r="G8" s="38" t="inlineStr">
        <is>
          <t>Critical</t>
        </is>
      </c>
      <c r="H8" s="40" t="inlineStr">
        <is>
          <t>PENDING</t>
        </is>
      </c>
      <c r="I8" s="39" t="n"/>
    </row>
    <row r="9" ht="50" customHeight="1">
      <c r="A9" s="41" t="inlineStr">
        <is>
          <t>ADM-05</t>
        </is>
      </c>
      <c r="B9" s="42" t="inlineStr">
        <is>
          <t>FR9.5</t>
        </is>
      </c>
      <c r="C9" s="43" t="inlineStr">
        <is>
          <t>Verification</t>
        </is>
      </c>
      <c r="D9" s="43" t="inlineStr">
        <is>
          <t>Rejected responder receives notification of rejection</t>
        </is>
      </c>
      <c r="E9" s="43" t="inlineStr">
        <is>
          <t>1. Reject a pending responder
2. Check responder email/in-app</t>
        </is>
      </c>
      <c r="F9" s="43" t="inlineStr">
        <is>
          <t>Notification sent; responder account marked REJECTED; cannot log into active features</t>
        </is>
      </c>
      <c r="G9" s="42" t="inlineStr">
        <is>
          <t>Critical</t>
        </is>
      </c>
      <c r="H9" s="40" t="inlineStr">
        <is>
          <t>PENDING</t>
        </is>
      </c>
      <c r="I9" s="43" t="n"/>
    </row>
    <row r="10" ht="40" customHeight="1">
      <c r="A10" s="37" t="inlineStr">
        <is>
          <t>ADM-06</t>
        </is>
      </c>
      <c r="B10" s="38" t="inlineStr">
        <is>
          <t>FR9.4</t>
        </is>
      </c>
      <c r="C10" s="39" t="inlineStr">
        <is>
          <t>Verification</t>
        </is>
      </c>
      <c r="D10" s="39" t="inlineStr">
        <is>
          <t>Admin can view uploaded employee card document for verification</t>
        </is>
      </c>
      <c r="E10" s="39" t="inlineStr">
        <is>
          <t>1. Open pending responder application
2. Click on employee card attachment</t>
        </is>
      </c>
      <c r="F10" s="39" t="inlineStr">
        <is>
          <t>Document opens/downloads correctly for admin review</t>
        </is>
      </c>
      <c r="G10" s="38" t="inlineStr">
        <is>
          <t>High</t>
        </is>
      </c>
      <c r="H10" s="40" t="inlineStr">
        <is>
          <t>PENDING</t>
        </is>
      </c>
      <c r="I10" s="39" t="n"/>
    </row>
    <row r="11" ht="18" customHeight="1">
      <c r="A11" s="36" t="inlineStr">
        <is>
          <t xml:space="preserve">  DASHBOARD</t>
        </is>
      </c>
    </row>
    <row r="12" ht="50" customHeight="1">
      <c r="A12" s="37" t="inlineStr">
        <is>
          <t>ADM-07</t>
        </is>
      </c>
      <c r="B12" s="38" t="inlineStr">
        <is>
          <t>FR9.6</t>
        </is>
      </c>
      <c r="C12" s="39" t="inlineStr">
        <is>
          <t>Dashboard</t>
        </is>
      </c>
      <c r="D12" s="39" t="inlineStr">
        <is>
          <t>Dashboard shows live count of active emergencies, total users, and pending verifications</t>
        </is>
      </c>
      <c r="E12" s="39" t="inlineStr">
        <is>
          <t>1. Log in as Admin
2. Open Dashboard</t>
        </is>
      </c>
      <c r="F12" s="39" t="inlineStr">
        <is>
          <t>Stats cards display current counts; data refreshes without full page reload</t>
        </is>
      </c>
      <c r="G12" s="38" t="inlineStr">
        <is>
          <t>Medium</t>
        </is>
      </c>
      <c r="H12" s="40" t="inlineStr">
        <is>
          <t>PENDING</t>
        </is>
      </c>
      <c r="I12" s="39" t="n"/>
    </row>
    <row r="13" ht="40" customHeight="1">
      <c r="A13" s="41" t="inlineStr">
        <is>
          <t>ADM-08</t>
        </is>
      </c>
      <c r="B13" s="42" t="inlineStr">
        <is>
          <t>FR9.1, FR9.7</t>
        </is>
      </c>
      <c r="C13" s="43" t="inlineStr">
        <is>
          <t>Dashboard</t>
        </is>
      </c>
      <c r="D13" s="43" t="inlineStr">
        <is>
          <t>Admin dashboard accessible only by ADMIN role accounts</t>
        </is>
      </c>
      <c r="E13" s="43" t="inlineStr">
        <is>
          <t>1. Log in as Patient
2. Attempt to access /admin URL directly</t>
        </is>
      </c>
      <c r="F13" s="43" t="inlineStr">
        <is>
          <t>Redirected to login or 403 error; admin pages not accessible</t>
        </is>
      </c>
      <c r="G13" s="42" t="inlineStr">
        <is>
          <t>Medium</t>
        </is>
      </c>
      <c r="H13" s="40" t="inlineStr">
        <is>
          <t>PENDING</t>
        </is>
      </c>
      <c r="I13" s="43" t="n"/>
    </row>
    <row r="14" ht="18" customHeight="1">
      <c r="A14" s="36" t="inlineStr">
        <is>
          <t xml:space="preserve">  ADDED IN v2.0 — SRS GAPS &amp; NEW FEATURES</t>
        </is>
      </c>
    </row>
    <row r="15" ht="40" customHeight="1">
      <c r="A15" s="37" t="inlineStr">
        <is>
          <t>ADM-09</t>
        </is>
      </c>
      <c r="B15" s="38" t="inlineStr">
        <is>
          <t>FR9.2</t>
        </is>
      </c>
      <c r="C15" s="39" t="inlineStr">
        <is>
          <t>Users</t>
        </is>
      </c>
      <c r="D15" s="39" t="inlineStr">
        <is>
          <t>Admin filters users by role and status</t>
        </is>
      </c>
      <c r="E15" s="39" t="inlineStr">
        <is>
          <t>1. User Management → Responders tab → Inactive filter</t>
        </is>
      </c>
      <c r="F15" s="39" t="inlineStr">
        <is>
          <t>Only matching users listed</t>
        </is>
      </c>
      <c r="G15" s="38" t="inlineStr">
        <is>
          <t>High</t>
        </is>
      </c>
      <c r="H15" s="40" t="inlineStr">
        <is>
          <t>PENDING</t>
        </is>
      </c>
      <c r="I15" s="39" t="n"/>
    </row>
    <row r="16" ht="50" customHeight="1">
      <c r="A16" s="41" t="inlineStr">
        <is>
          <t>ADM-10</t>
        </is>
      </c>
      <c r="B16" s="42" t="inlineStr">
        <is>
          <t>FR9.3</t>
        </is>
      </c>
      <c r="C16" s="43" t="inlineStr">
        <is>
          <t>Users</t>
        </is>
      </c>
      <c r="D16" s="43" t="inlineStr">
        <is>
          <t>Admin deletes a user account (soft delete, audit preserved)</t>
        </is>
      </c>
      <c r="E16" s="43" t="inlineStr">
        <is>
          <t>1. Delete a test user and confirm</t>
        </is>
      </c>
      <c r="F16" s="43" t="inlineStr">
        <is>
          <t>User removed from active lists, sessions revoked, cannot log in; payment/audit history kept</t>
        </is>
      </c>
      <c r="G16" s="42" t="inlineStr">
        <is>
          <t>High</t>
        </is>
      </c>
      <c r="H16" s="40" t="inlineStr">
        <is>
          <t>PENDING</t>
        </is>
      </c>
      <c r="I16" s="43" t="n"/>
    </row>
    <row r="17" ht="40" customHeight="1">
      <c r="A17" s="37" t="inlineStr">
        <is>
          <t>ADM-11</t>
        </is>
      </c>
      <c r="B17" s="38" t="inlineStr">
        <is>
          <t>FR6.1</t>
        </is>
      </c>
      <c r="C17" s="39" t="inlineStr">
        <is>
          <t>SOS Logistics</t>
        </is>
      </c>
      <c r="D17" s="39" t="inlineStr">
        <is>
          <t>Admin live map shows active SOS and moving responders</t>
        </is>
      </c>
      <c r="E17" s="39" t="inlineStr">
        <is>
          <t>1. Open SOS Logistics during an active emergency</t>
        </is>
      </c>
      <c r="F17" s="39" t="inlineStr">
        <is>
          <t>SOS pin and moving motorbike ambulance marker update live</t>
        </is>
      </c>
      <c r="G17" s="38" t="inlineStr">
        <is>
          <t>Medium</t>
        </is>
      </c>
      <c r="H17" s="40" t="inlineStr">
        <is>
          <t>PENDING</t>
        </is>
      </c>
      <c r="I17" s="39" t="n"/>
    </row>
    <row r="18" ht="40" customHeight="1">
      <c r="A18" s="41" t="inlineStr">
        <is>
          <t>ADM-12</t>
        </is>
      </c>
      <c r="B18" s="46" t="inlineStr">
        <is>
          <t>Beyond SRS</t>
        </is>
      </c>
      <c r="C18" s="43" t="inlineStr">
        <is>
          <t>Subscriptions</t>
        </is>
      </c>
      <c r="D18" s="43" t="inlineStr">
        <is>
          <t>Admin changes or cancels a user's subscription plan</t>
        </is>
      </c>
      <c r="E18" s="43" t="inlineStr">
        <is>
          <t>1. Subscriptions → Change plan → confirm</t>
        </is>
      </c>
      <c r="F18" s="43" t="inlineStr">
        <is>
          <t>Plan updated after refresh; audit log entry ADMIN_UPDATE_SUBSCRIPTION</t>
        </is>
      </c>
      <c r="G18" s="42" t="inlineStr">
        <is>
          <t>Medium</t>
        </is>
      </c>
      <c r="H18" s="40" t="inlineStr">
        <is>
          <t>PENDING</t>
        </is>
      </c>
      <c r="I18" s="43" t="n"/>
    </row>
    <row r="19" ht="40" customHeight="1">
      <c r="A19" s="37" t="inlineStr">
        <is>
          <t>ADM-13</t>
        </is>
      </c>
      <c r="B19" s="44" t="inlineStr">
        <is>
          <t>Beyond SRS</t>
        </is>
      </c>
      <c r="C19" s="39" t="inlineStr">
        <is>
          <t>Security</t>
        </is>
      </c>
      <c r="D19" s="39" t="inlineStr">
        <is>
          <t>Maintenance mode blocks non-admin API usage</t>
        </is>
      </c>
      <c r="E19" s="39" t="inlineStr">
        <is>
          <t>1. Settings → enable Maintenance mode
2. Use the mobile app</t>
        </is>
      </c>
      <c r="F19" s="39" t="inlineStr">
        <is>
          <t>App requests return 503 maintenance message; admin portal keeps working</t>
        </is>
      </c>
      <c r="G19" s="38" t="inlineStr">
        <is>
          <t>Low</t>
        </is>
      </c>
      <c r="H19" s="40" t="inlineStr">
        <is>
          <t>PENDING</t>
        </is>
      </c>
      <c r="I19" s="39" t="n"/>
    </row>
  </sheetData>
  <mergeCells count="5">
    <mergeCell ref="A7:I7"/>
    <mergeCell ref="A11:I11"/>
    <mergeCell ref="A14:I14"/>
    <mergeCell ref="A1:I1"/>
    <mergeCell ref="A3:I3"/>
  </mergeCells>
  <conditionalFormatting sqref="H4:H19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19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8" customWidth="1" min="4" max="4"/>
    <col width="45" customWidth="1" min="5" max="5"/>
    <col width="38" customWidth="1" min="6" max="6"/>
    <col width="11" customWidth="1" min="7" max="7"/>
    <col width="12" customWidth="1" min="8" max="8"/>
    <col width="22" customWidth="1" min="9" max="9"/>
  </cols>
  <sheetData>
    <row r="1" ht="28" customHeight="1">
      <c r="A1" s="34" t="inlineStr">
        <is>
          <t>MediFind — BACKEND_API Requirements &amp; Test Cases</t>
        </is>
      </c>
    </row>
    <row r="2" ht="22" customHeight="1">
      <c r="A2" s="35" t="inlineStr">
        <is>
          <t>REQ ID</t>
        </is>
      </c>
      <c r="B2" s="35" t="inlineStr">
        <is>
          <t>SRS Ref</t>
        </is>
      </c>
      <c r="C2" s="35" t="inlineStr">
        <is>
          <t>Module</t>
        </is>
      </c>
      <c r="D2" s="35" t="inlineStr">
        <is>
          <t>Requirement Description</t>
        </is>
      </c>
      <c r="E2" s="35" t="inlineStr">
        <is>
          <t>Test Steps</t>
        </is>
      </c>
      <c r="F2" s="35" t="inlineStr">
        <is>
          <t>Expected Result</t>
        </is>
      </c>
      <c r="G2" s="35" t="inlineStr">
        <is>
          <t>Priority</t>
        </is>
      </c>
      <c r="H2" s="35" t="inlineStr">
        <is>
          <t>Status</t>
        </is>
      </c>
      <c r="I2" s="35" t="inlineStr">
        <is>
          <t>Notes / Defect Ref</t>
        </is>
      </c>
    </row>
    <row r="3" ht="18" customHeight="1">
      <c r="A3" s="36" t="inlineStr">
        <is>
          <t xml:space="preserve">  AUTHENTICATION ENDPOINTS</t>
        </is>
      </c>
    </row>
    <row r="4" ht="40" customHeight="1">
      <c r="A4" s="37" t="inlineStr">
        <is>
          <t>API-01</t>
        </is>
      </c>
      <c r="B4" s="38" t="inlineStr">
        <is>
          <t>FR1.1</t>
        </is>
      </c>
      <c r="C4" s="39" t="inlineStr">
        <is>
          <t>Auth API</t>
        </is>
      </c>
      <c r="D4" s="39" t="inlineStr">
        <is>
          <t>POST /api/auth/register — creates user and returns 201</t>
        </is>
      </c>
      <c r="E4" s="39" t="inlineStr">
        <is>
          <t>1. Send POST with valid body
2. Check response</t>
        </is>
      </c>
      <c r="F4" s="39" t="inlineStr">
        <is>
          <t>HTTP 201; user record in DB; verification email queued</t>
        </is>
      </c>
      <c r="G4" s="38" t="inlineStr">
        <is>
          <t>Critical</t>
        </is>
      </c>
      <c r="H4" s="40" t="inlineStr">
        <is>
          <t>PENDING</t>
        </is>
      </c>
      <c r="I4" s="39" t="n"/>
    </row>
    <row r="5" ht="50" customHeight="1">
      <c r="A5" s="41" t="inlineStr">
        <is>
          <t>API-02</t>
        </is>
      </c>
      <c r="B5" s="42" t="inlineStr">
        <is>
          <t>FR1.2</t>
        </is>
      </c>
      <c r="C5" s="43" t="inlineStr">
        <is>
          <t>Auth API</t>
        </is>
      </c>
      <c r="D5" s="43" t="inlineStr">
        <is>
          <t>POST /api/auth/login — returns access and refresh tokens</t>
        </is>
      </c>
      <c r="E5" s="43" t="inlineStr">
        <is>
          <t>1. Send POST with valid credentials</t>
        </is>
      </c>
      <c r="F5" s="43" t="inlineStr">
        <is>
          <t>HTTP 200; response data contains token (access JWT), refreshToken, role and fullName</t>
        </is>
      </c>
      <c r="G5" s="42" t="inlineStr">
        <is>
          <t>Critical</t>
        </is>
      </c>
      <c r="H5" s="40" t="inlineStr">
        <is>
          <t>PENDING</t>
        </is>
      </c>
      <c r="I5" s="43" t="n"/>
    </row>
    <row r="6" ht="50" customHeight="1">
      <c r="A6" s="37" t="inlineStr">
        <is>
          <t>API-03</t>
        </is>
      </c>
      <c r="B6" s="38" t="inlineStr">
        <is>
          <t>FR1.2</t>
        </is>
      </c>
      <c r="C6" s="39" t="inlineStr">
        <is>
          <t>Auth API</t>
        </is>
      </c>
      <c r="D6" s="39" t="inlineStr">
        <is>
          <t>POST /api/auth/refresh-token — issues a new access token; refresh tokens cannot call protected APIs</t>
        </is>
      </c>
      <c r="E6" s="39" t="inlineStr">
        <is>
          <t>1. Call refresh-token with a valid refreshToken
2. Call GET /api/users/profile using the refresh token as Bearer</t>
        </is>
      </c>
      <c r="F6" s="39" t="inlineStr">
        <is>
          <t>Step 1: HTTP 200 with token/accessToken. Step 2: HTTP 401</t>
        </is>
      </c>
      <c r="G6" s="38" t="inlineStr">
        <is>
          <t>High</t>
        </is>
      </c>
      <c r="H6" s="40" t="inlineStr">
        <is>
          <t>PENDING</t>
        </is>
      </c>
      <c r="I6" s="39" t="n"/>
    </row>
    <row r="7" ht="40" customHeight="1">
      <c r="A7" s="41" t="inlineStr">
        <is>
          <t>API-04</t>
        </is>
      </c>
      <c r="B7" s="46" t="inlineStr">
        <is>
          <t>Beyond SRS</t>
        </is>
      </c>
      <c r="C7" s="43" t="inlineStr">
        <is>
          <t>Auth API</t>
        </is>
      </c>
      <c r="D7" s="43" t="inlineStr">
        <is>
          <t>DELETE /api/users/me — deletes account and returns 200</t>
        </is>
      </c>
      <c r="E7" s="43" t="inlineStr">
        <is>
          <t>1. Send DELETE with valid auth token</t>
        </is>
      </c>
      <c r="F7" s="43" t="inlineStr">
        <is>
          <t>HTTP 200; user record removed; subsequent login attempts return 401</t>
        </is>
      </c>
      <c r="G7" s="42" t="inlineStr">
        <is>
          <t>High</t>
        </is>
      </c>
      <c r="H7" s="40" t="inlineStr">
        <is>
          <t>PENDING</t>
        </is>
      </c>
      <c r="I7" s="43" t="n"/>
    </row>
    <row r="8" ht="18" customHeight="1">
      <c r="A8" s="36" t="inlineStr">
        <is>
          <t xml:space="preserve">  EMERGENCY ENDPOINTS</t>
        </is>
      </c>
    </row>
    <row r="9" ht="64" customHeight="1">
      <c r="A9" s="37" t="inlineStr">
        <is>
          <t>API-05</t>
        </is>
      </c>
      <c r="B9" s="38" t="inlineStr">
        <is>
          <t>FR4.5</t>
        </is>
      </c>
      <c r="C9" s="39" t="inlineStr">
        <is>
          <t>Emergency API</t>
        </is>
      </c>
      <c r="D9" s="39" t="inlineStr">
        <is>
          <t>POST /api/emergencies — creates emergency and notifies nearby responders</t>
        </is>
      </c>
      <c r="E9" s="39" t="inlineStr">
        <is>
          <t>1. Send POST with patient coords and emergency type</t>
        </is>
      </c>
      <c r="F9" s="39" t="inlineStr">
        <is>
          <t>HTTP 201; emergency ACTIVE; nearby responders receive SOS_TRIGGERED via socket "notification" and self-hosted "push" events</t>
        </is>
      </c>
      <c r="G9" s="38" t="inlineStr">
        <is>
          <t>Critical</t>
        </is>
      </c>
      <c r="H9" s="40" t="inlineStr">
        <is>
          <t>PENDING</t>
        </is>
      </c>
      <c r="I9" s="39" t="n"/>
    </row>
    <row r="10" ht="50" customHeight="1">
      <c r="A10" s="41" t="inlineStr">
        <is>
          <t>API-06</t>
        </is>
      </c>
      <c r="B10" s="42" t="inlineStr">
        <is>
          <t>FR5.1</t>
        </is>
      </c>
      <c r="C10" s="43" t="inlineStr">
        <is>
          <t>Emergency API</t>
        </is>
      </c>
      <c r="D10" s="43" t="inlineStr">
        <is>
          <t>POST /api/responders/emergencies/:id/accept — assigns responder (first accept wins)</t>
        </is>
      </c>
      <c r="E10" s="43" t="inlineStr">
        <is>
          <t>1. Two responders call accept at the same time</t>
        </is>
      </c>
      <c r="F10" s="43" t="inlineStr">
        <is>
          <t>Exactly one HTTP 200 (emergency ASSIGNED, EMERGENCY_STATUS_CHANGE emitted); the other gets HTTP 400</t>
        </is>
      </c>
      <c r="G10" s="42" t="inlineStr">
        <is>
          <t>Critical</t>
        </is>
      </c>
      <c r="H10" s="45" t="inlineStr">
        <is>
          <t>PASS</t>
        </is>
      </c>
      <c r="I10" s="43" t="inlineStr">
        <is>
          <t>2026-09-17: first accept 200, second accept 400; accept now responds in 72 ms (AI brief moved to background)</t>
        </is>
      </c>
    </row>
    <row r="11" ht="64" customHeight="1">
      <c r="A11" s="37" t="inlineStr">
        <is>
          <t>API-07</t>
        </is>
      </c>
      <c r="B11" s="38" t="inlineStr">
        <is>
          <t>FR6.2</t>
        </is>
      </c>
      <c r="C11" s="39" t="inlineStr">
        <is>
          <t>Emergency API</t>
        </is>
      </c>
      <c r="D11" s="39" t="inlineStr">
        <is>
          <t>PATCH /api/emergencies/:id/status — assigned responder updates EN_ROUTE / ARRIVED</t>
        </is>
      </c>
      <c r="E11" s="39" t="inlineStr">
        <is>
          <t>1. Send PATCH with new status value</t>
        </is>
      </c>
      <c r="F11" s="39" t="inlineStr">
        <is>
          <t>HTTP 200 for the assigned responder with EMERGENCY_STATUS_CHANGE emitted; any other responder or patient gets HTTP 403</t>
        </is>
      </c>
      <c r="G11" s="38" t="inlineStr">
        <is>
          <t>High</t>
        </is>
      </c>
      <c r="H11" s="40" t="inlineStr">
        <is>
          <t>PENDING</t>
        </is>
      </c>
      <c r="I11" s="39" t="n"/>
    </row>
    <row r="12" ht="18" customHeight="1">
      <c r="A12" s="36" t="inlineStr">
        <is>
          <t xml:space="preserve">  NOTIFICATION ENDPOINTS</t>
        </is>
      </c>
    </row>
    <row r="13" ht="50" customHeight="1">
      <c r="A13" s="37" t="inlineStr">
        <is>
          <t>API-08</t>
        </is>
      </c>
      <c r="B13" s="44" t="inlineStr">
        <is>
          <t>Beyond SRS</t>
        </is>
      </c>
      <c r="C13" s="39" t="inlineStr">
        <is>
          <t>Notifications API</t>
        </is>
      </c>
      <c r="D13" s="39" t="inlineStr">
        <is>
          <t>POST /api/notifications/broadcast with recipientType=INDIVIDUAL — delivers to one user only</t>
        </is>
      </c>
      <c r="E13" s="39" t="inlineStr">
        <is>
          <t>1. POST with { recipientType:"INDIVIDUAL", targetId:"user@email.com", title, body }
2. Check all user sockets</t>
        </is>
      </c>
      <c r="F13" s="39" t="inlineStr">
        <is>
          <t>HTTP 200; only the target user's socket room (notifications:userId) receives the event</t>
        </is>
      </c>
      <c r="G13" s="38" t="inlineStr">
        <is>
          <t>Critical</t>
        </is>
      </c>
      <c r="H13" s="40" t="inlineStr">
        <is>
          <t>PENDING</t>
        </is>
      </c>
      <c r="I13" s="39" t="n"/>
    </row>
    <row r="14" ht="50" customHeight="1">
      <c r="A14" s="41" t="inlineStr">
        <is>
          <t>API-09</t>
        </is>
      </c>
      <c r="B14" s="46" t="inlineStr">
        <is>
          <t>Beyond SRS</t>
        </is>
      </c>
      <c r="C14" s="43" t="inlineStr">
        <is>
          <t>Notifications API</t>
        </is>
      </c>
      <c r="D14" s="43" t="inlineStr">
        <is>
          <t>POST /api/notifications/broadcast with missing targetId for INDIVIDUAL — returns 400</t>
        </is>
      </c>
      <c r="E14" s="43" t="inlineStr">
        <is>
          <t>1. POST with { recipientType:"INDIVIDUAL", targetId:"" }</t>
        </is>
      </c>
      <c r="F14" s="43" t="inlineStr">
        <is>
          <t>HTTP 400; error message "targetId is required for individual messages"</t>
        </is>
      </c>
      <c r="G14" s="42" t="inlineStr">
        <is>
          <t>High</t>
        </is>
      </c>
      <c r="H14" s="40" t="inlineStr">
        <is>
          <t>PENDING</t>
        </is>
      </c>
      <c r="I14" s="43" t="n"/>
    </row>
    <row r="15" ht="18" customHeight="1">
      <c r="A15" s="36" t="inlineStr">
        <is>
          <t xml:space="preserve">  MIDDLEWARE &amp; SECURITY</t>
        </is>
      </c>
    </row>
    <row r="16" ht="40" customHeight="1">
      <c r="A16" s="37" t="inlineStr">
        <is>
          <t>API-10</t>
        </is>
      </c>
      <c r="B16" s="38" t="inlineStr">
        <is>
          <t>FR1.6</t>
        </is>
      </c>
      <c r="C16" s="39" t="inlineStr">
        <is>
          <t>Security</t>
        </is>
      </c>
      <c r="D16" s="39" t="inlineStr">
        <is>
          <t>Protected endpoints reject requests without valid JWT</t>
        </is>
      </c>
      <c r="E16" s="39" t="inlineStr">
        <is>
          <t>1. Send request to /api/users/me with no Authorization header</t>
        </is>
      </c>
      <c r="F16" s="39" t="inlineStr">
        <is>
          <t>HTTP 401 Unauthorized</t>
        </is>
      </c>
      <c r="G16" s="38" t="inlineStr">
        <is>
          <t>Critical</t>
        </is>
      </c>
      <c r="H16" s="40" t="inlineStr">
        <is>
          <t>PENDING</t>
        </is>
      </c>
      <c r="I16" s="39" t="n"/>
    </row>
    <row r="17" ht="40" customHeight="1">
      <c r="A17" s="41" t="inlineStr">
        <is>
          <t>API-11</t>
        </is>
      </c>
      <c r="B17" s="42" t="inlineStr">
        <is>
          <t>FR1.6, FR9.7</t>
        </is>
      </c>
      <c r="C17" s="43" t="inlineStr">
        <is>
          <t>Security</t>
        </is>
      </c>
      <c r="D17" s="43" t="inlineStr">
        <is>
          <t>Role-based endpoints enforce role check (e.g., admin-only routes)</t>
        </is>
      </c>
      <c r="E17" s="43" t="inlineStr">
        <is>
          <t>1. Send request to /api/admin/* as a Patient account</t>
        </is>
      </c>
      <c r="F17" s="43" t="inlineStr">
        <is>
          <t>HTTP 403 Forbidden</t>
        </is>
      </c>
      <c r="G17" s="42" t="inlineStr">
        <is>
          <t>High</t>
        </is>
      </c>
      <c r="H17" s="40" t="inlineStr">
        <is>
          <t>PENDING</t>
        </is>
      </c>
      <c r="I17" s="43" t="n"/>
    </row>
    <row r="18" ht="50" customHeight="1">
      <c r="A18" s="37" t="inlineStr">
        <is>
          <t>API-12</t>
        </is>
      </c>
      <c r="B18" s="38" t="inlineStr">
        <is>
          <t>FR2.3</t>
        </is>
      </c>
      <c r="C18" s="39" t="inlineStr">
        <is>
          <t>Security</t>
        </is>
      </c>
      <c r="D18" s="39" t="inlineStr">
        <is>
          <t>File uploads are validated for type and size</t>
        </is>
      </c>
      <c r="E18" s="39" t="inlineStr">
        <is>
          <t>1. Upload an .exe
2. Upload an 11 MB image</t>
        </is>
      </c>
      <c r="F18" s="39" t="inlineStr">
        <is>
          <t>Both rejected with HTTP 400 and a clear message; images, PDF, audio and Word files ≤10 MB accepted</t>
        </is>
      </c>
      <c r="G18" s="38" t="inlineStr">
        <is>
          <t>Medium</t>
        </is>
      </c>
      <c r="H18" s="40" t="inlineStr">
        <is>
          <t>PENDING</t>
        </is>
      </c>
      <c r="I18" s="39" t="n"/>
    </row>
    <row r="19" ht="18" customHeight="1">
      <c r="A19" s="36" t="inlineStr">
        <is>
          <t xml:space="preserve">  ADDED IN v2.0 — SRS GAPS &amp; NEW FEATURES</t>
        </is>
      </c>
    </row>
    <row r="20" ht="50" customHeight="1">
      <c r="A20" s="37" t="inlineStr">
        <is>
          <t>API-13</t>
        </is>
      </c>
      <c r="B20" s="38" t="inlineStr">
        <is>
          <t>FR6.3</t>
        </is>
      </c>
      <c r="C20" s="39" t="inlineStr">
        <is>
          <t>Emergencies</t>
        </is>
      </c>
      <c r="D20" s="39" t="inlineStr">
        <is>
          <t>GET /api/emergencies/history — patient own / caregiver linked patients</t>
        </is>
      </c>
      <c r="E20" s="39" t="inlineStr">
        <is>
          <t>Call as patient, caregiver and responder</t>
        </is>
      </c>
      <c r="F20" s="39" t="inlineStr">
        <is>
          <t>Patient and caregiver: HTTP 200 with emergencies and assigned responder; responder: HTTP 403</t>
        </is>
      </c>
      <c r="G20" s="38" t="inlineStr">
        <is>
          <t>Medium</t>
        </is>
      </c>
      <c r="H20" s="40" t="inlineStr">
        <is>
          <t>PENDING</t>
        </is>
      </c>
      <c r="I20" s="39" t="n"/>
    </row>
    <row r="21" ht="64" customHeight="1">
      <c r="A21" s="41" t="inlineStr">
        <is>
          <t>API-14</t>
        </is>
      </c>
      <c r="B21" s="46" t="inlineStr">
        <is>
          <t>Beyond SRS</t>
        </is>
      </c>
      <c r="C21" s="43" t="inlineStr">
        <is>
          <t>Push</t>
        </is>
      </c>
      <c r="D21" s="43" t="inlineStr">
        <is>
          <t>GET /api/notifications/pending and POST /api/notifications/ack</t>
        </is>
      </c>
      <c r="E21" s="43" t="inlineStr">
        <is>
          <t>1. Queue a push for an offline user
2. GET pending
3. POST ack with ids
4. GET pending</t>
        </is>
      </c>
      <c r="F21" s="43" t="inlineStr">
        <is>
          <t>Step 2 lists the message; after ack step 4 returns an empty list</t>
        </is>
      </c>
      <c r="G21" s="42" t="inlineStr">
        <is>
          <t>High</t>
        </is>
      </c>
      <c r="H21" s="40" t="inlineStr">
        <is>
          <t>PENDING</t>
        </is>
      </c>
      <c r="I21" s="43" t="n"/>
    </row>
    <row r="22" ht="40" customHeight="1">
      <c r="A22" s="37" t="inlineStr">
        <is>
          <t>API-15</t>
        </is>
      </c>
      <c r="B22" s="38" t="inlineStr">
        <is>
          <t>FR2.6</t>
        </is>
      </c>
      <c r="C22" s="39" t="inlineStr">
        <is>
          <t>Security</t>
        </is>
      </c>
      <c r="D22" s="39" t="inlineStr">
        <is>
          <t>GET /api/emergencies/:id enforces access control</t>
        </is>
      </c>
      <c r="E22" s="39" t="inlineStr">
        <is>
          <t>Request another patient's emergency as a patient</t>
        </is>
      </c>
      <c r="F22" s="39" t="inlineStr">
        <is>
          <t>HTTP 403</t>
        </is>
      </c>
      <c r="G22" s="38" t="inlineStr">
        <is>
          <t>Critical</t>
        </is>
      </c>
      <c r="H22" s="40" t="inlineStr">
        <is>
          <t>PENDING</t>
        </is>
      </c>
      <c r="I22" s="39" t="n"/>
    </row>
    <row r="23" ht="50" customHeight="1">
      <c r="A23" s="41" t="inlineStr">
        <is>
          <t>API-16</t>
        </is>
      </c>
      <c r="B23" s="42" t="inlineStr">
        <is>
          <t>FR6.1</t>
        </is>
      </c>
      <c r="C23" s="43" t="inlineStr">
        <is>
          <t>Socket</t>
        </is>
      </c>
      <c r="D23" s="43" t="inlineStr">
        <is>
          <t>Socket.io connections require a valid JWT</t>
        </is>
      </c>
      <c r="E23" s="43" t="inlineStr">
        <is>
          <t>Connect without a token, then with a valid token</t>
        </is>
      </c>
      <c r="F23" s="43" t="inlineStr">
        <is>
          <t>Without token: connection rejected "Unauthorized"; with token: user auto-joins own notification room</t>
        </is>
      </c>
      <c r="G23" s="42" t="inlineStr">
        <is>
          <t>Critical</t>
        </is>
      </c>
      <c r="H23" s="40" t="inlineStr">
        <is>
          <t>PENDING</t>
        </is>
      </c>
      <c r="I23" s="43" t="n"/>
    </row>
  </sheetData>
  <mergeCells count="6">
    <mergeCell ref="A15:I15"/>
    <mergeCell ref="A19:I19"/>
    <mergeCell ref="A1:I1"/>
    <mergeCell ref="A8:I8"/>
    <mergeCell ref="A3:I3"/>
    <mergeCell ref="A12:I12"/>
  </mergeCells>
  <conditionalFormatting sqref="H4:H23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"PENDING"</formula>
    </cfRule>
    <cfRule type="cellIs" priority="4" operator="equal" dxfId="3">
      <formula>"N/A"</formula>
    </cfRule>
    <cfRule type="cellIs" priority="5" operator="equal" dxfId="4">
      <formula>"BLOCKED"</formula>
    </cfRule>
  </conditionalFormatting>
  <dataValidations count="1">
    <dataValidation sqref="H4:H23" showDropDown="0" showInputMessage="0" showErrorMessage="0" allowBlank="0" errorTitle="Invalid status" error="Choose PASS, FAIL, PENDING, BLOCKED or N/A" type="list">
      <formula1>"PENDING,PASS,FAIL,BLOCKED,N/A"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40" customWidth="1" min="4" max="4"/>
  </cols>
  <sheetData>
    <row r="1" ht="28" customHeight="1">
      <c r="A1" s="26" t="inlineStr">
        <is>
          <t>MediFind — Changes from Version 1.0 (2026-05-30) to 2.2</t>
        </is>
      </c>
    </row>
    <row r="2">
      <c r="A2" s="47" t="inlineStr">
        <is>
          <t>Test ID</t>
        </is>
      </c>
      <c r="B2" s="47" t="inlineStr">
        <is>
          <t>Type</t>
        </is>
      </c>
      <c r="C2" s="47" t="inlineStr">
        <is>
          <t>Change</t>
        </is>
      </c>
      <c r="D2" s="47" t="inlineStr">
        <is>
          <t>Reason</t>
        </is>
      </c>
    </row>
    <row r="3">
      <c r="A3" s="48" t="inlineStr">
        <is>
          <t>AUTH-01</t>
        </is>
      </c>
      <c r="B3" s="48" t="inlineStr">
        <is>
          <t>Updated</t>
        </is>
      </c>
      <c r="C3" s="48" t="inlineStr">
        <is>
          <t>Description / steps / expected result corrected</t>
        </is>
      </c>
      <c r="D3" s="48" t="inlineStr">
        <is>
          <t>Patients provide a CNIC number; only responders upload document photos. Verification is by email OTP.</t>
        </is>
      </c>
    </row>
    <row r="4">
      <c r="A4" s="48" t="inlineStr">
        <is>
          <t>AUTH-03</t>
        </is>
      </c>
      <c r="B4" s="48" t="inlineStr">
        <is>
          <t>Updated</t>
        </is>
      </c>
      <c r="C4" s="48" t="inlineStr">
        <is>
          <t>Description / steps / expected result corrected</t>
        </is>
      </c>
      <c r="D4" s="48" t="inlineStr">
        <is>
          <t>Responder application requires CNIC front/back, employee card, driving licence and motorbike documents.</t>
        </is>
      </c>
    </row>
    <row r="5">
      <c r="A5" s="48" t="inlineStr">
        <is>
          <t>AUTH-04</t>
        </is>
      </c>
      <c r="B5" s="48" t="inlineStr">
        <is>
          <t>Updated</t>
        </is>
      </c>
      <c r="C5" s="48" t="inlineStr">
        <is>
          <t>Description / steps / expected result corrected</t>
        </is>
      </c>
      <c r="D5" s="48" t="inlineStr">
        <is>
          <t>Caregiver–patient linking is done after login by email invitation (supports many-to-many, FR7.2).</t>
        </is>
      </c>
    </row>
    <row r="6">
      <c r="A6" s="48" t="inlineStr">
        <is>
          <t>AUTH-05</t>
        </is>
      </c>
      <c r="B6" s="48" t="inlineStr">
        <is>
          <t>Updated</t>
        </is>
      </c>
      <c r="C6" s="48" t="inlineStr">
        <is>
          <t>Description / steps / expected result corrected</t>
        </is>
      </c>
      <c r="D6" s="48" t="inlineStr">
        <is>
          <t>Matches the actual server message.</t>
        </is>
      </c>
    </row>
    <row r="7">
      <c r="A7" s="48" t="inlineStr">
        <is>
          <t>AUTH-08</t>
        </is>
      </c>
      <c r="B7" s="48" t="inlineStr">
        <is>
          <t>Updated</t>
        </is>
      </c>
      <c r="C7" s="48" t="inlineStr">
        <is>
          <t>Description / steps / expected result corrected</t>
        </is>
      </c>
      <c r="D7" s="48" t="inlineStr">
        <is>
          <t>Matches the actual server message and lockout warning.</t>
        </is>
      </c>
    </row>
    <row r="8">
      <c r="A8" s="48" t="inlineStr">
        <is>
          <t>AUTH-09</t>
        </is>
      </c>
      <c r="B8" s="48" t="inlineStr">
        <is>
          <t>Updated</t>
        </is>
      </c>
      <c r="C8" s="48" t="inlineStr">
        <is>
          <t>Description / steps / expected result corrected</t>
        </is>
      </c>
      <c r="D8" s="48" t="inlineStr">
        <is>
          <t>Matches the actual server message.</t>
        </is>
      </c>
    </row>
    <row r="9">
      <c r="A9" s="48" t="inlineStr">
        <is>
          <t>SOS-01</t>
        </is>
      </c>
      <c r="B9" s="48" t="inlineStr">
        <is>
          <t>Updated</t>
        </is>
      </c>
      <c r="C9" s="48" t="inlineStr">
        <is>
          <t>Description / steps / expected result corrected</t>
        </is>
      </c>
      <c r="D9" s="48" t="inlineStr">
        <is>
          <t>Aligned with SRS FR4.1/FR4.3: press-and-hold plus a pre-send countdown (false SOS prevention). The SRS 10 s window was extended to 60 s by project decision; Send SOS now skips the wait.</t>
        </is>
      </c>
    </row>
    <row r="10">
      <c r="A10" s="48" t="inlineStr">
        <is>
          <t>SOS-03</t>
        </is>
      </c>
      <c r="B10" s="48" t="inlineStr">
        <is>
          <t>Updated</t>
        </is>
      </c>
      <c r="C10" s="48" t="inlineStr">
        <is>
          <t>Description / steps / expected result corrected</t>
        </is>
      </c>
      <c r="D10" s="48" t="inlineStr">
        <is>
          <t>Countdown cancellation must not create any server record (SRS FR4.3).</t>
        </is>
      </c>
    </row>
    <row r="11">
      <c r="A11" s="48" t="inlineStr">
        <is>
          <t>SOS-04</t>
        </is>
      </c>
      <c r="B11" s="48" t="inlineStr">
        <is>
          <t>Updated</t>
        </is>
      </c>
      <c r="C11" s="48" t="inlineStr">
        <is>
          <t>Description / steps / expected result corrected</t>
        </is>
      </c>
      <c r="D11" s="48" t="inlineStr">
        <is>
          <t>The app must never send a default/fake location.</t>
        </is>
      </c>
    </row>
    <row r="12">
      <c r="A12" s="48" t="inlineStr">
        <is>
          <t>SOS-06</t>
        </is>
      </c>
      <c r="B12" s="48" t="inlineStr">
        <is>
          <t>Updated</t>
        </is>
      </c>
      <c r="C12" s="48" t="inlineStr">
        <is>
          <t>Description / steps / expected result corrected</t>
        </is>
      </c>
      <c r="D12" s="48" t="inlineStr">
        <is>
          <t>Timeline includes Resolved.</t>
        </is>
      </c>
    </row>
    <row r="13">
      <c r="A13" s="48" t="inlineStr">
        <is>
          <t>RSP-01</t>
        </is>
      </c>
      <c r="B13" s="48" t="inlineStr">
        <is>
          <t>Updated</t>
        </is>
      </c>
      <c r="C13" s="48" t="inlineStr">
        <is>
          <t>Description / steps / expected result corrected</t>
        </is>
      </c>
      <c r="D13" s="48" t="inlineStr">
        <is>
          <t>Dispatch radius is 10 km and push arrives with the app closed (self-hosted push).</t>
        </is>
      </c>
    </row>
    <row r="14">
      <c r="A14" s="48" t="inlineStr">
        <is>
          <t>RSP-02</t>
        </is>
      </c>
      <c r="B14" s="48" t="inlineStr">
        <is>
          <t>Updated</t>
        </is>
      </c>
      <c r="C14" s="48" t="inlineStr">
        <is>
          <t>Description / steps / expected result corrected</t>
        </is>
      </c>
      <c r="D14" s="48" t="inlineStr">
        <is>
          <t>Alert card content as implemented.</t>
        </is>
      </c>
    </row>
    <row r="15">
      <c r="A15" s="48" t="inlineStr">
        <is>
          <t>RSP-05</t>
        </is>
      </c>
      <c r="B15" s="48" t="inlineStr">
        <is>
          <t>Updated</t>
        </is>
      </c>
      <c r="C15" s="48" t="inlineStr">
        <is>
          <t>Description / steps / expected result corrected</t>
        </is>
      </c>
      <c r="D15" s="48" t="inlineStr">
        <is>
          <t>SRS FR5.3 requires medical info and the DEAF flag.</t>
        </is>
      </c>
    </row>
    <row r="16">
      <c r="A16" s="48" t="inlineStr">
        <is>
          <t>RSP-07</t>
        </is>
      </c>
      <c r="B16" s="48" t="inlineStr">
        <is>
          <t>Updated</t>
        </is>
      </c>
      <c r="C16" s="48" t="inlineStr">
        <is>
          <t>Description / steps / expected result corrected</t>
        </is>
      </c>
      <c r="D16" s="48" t="inlineStr">
        <is>
          <t>All nearby responders are alerted at once; unaccepted SOS is re-dispatched after 60 s with admin escalation.</t>
        </is>
      </c>
    </row>
    <row r="17">
      <c r="A17" s="48" t="inlineStr">
        <is>
          <t>RSP-09</t>
        </is>
      </c>
      <c r="B17" s="48" t="inlineStr">
        <is>
          <t>Updated</t>
        </is>
      </c>
      <c r="C17" s="48" t="inlineStr">
        <is>
          <t>Description / steps / expected result corrected</t>
        </is>
      </c>
      <c r="D17" s="48" t="inlineStr">
        <is>
          <t>Arrival and resolution are separate steps; resolution records an outcome.</t>
        </is>
      </c>
    </row>
    <row r="18">
      <c r="A18" s="48" t="inlineStr">
        <is>
          <t>PRF-04</t>
        </is>
      </c>
      <c r="B18" s="48" t="inlineStr">
        <is>
          <t>Updated</t>
        </is>
      </c>
      <c r="C18" s="48" t="inlineStr">
        <is>
          <t>Description / steps / expected result corrected</t>
        </is>
      </c>
      <c r="D18" s="48" t="inlineStr">
        <is>
          <t>Requirement and expected result described different actions.</t>
        </is>
      </c>
    </row>
    <row r="19">
      <c r="A19" s="48" t="inlineStr">
        <is>
          <t>ACC-08</t>
        </is>
      </c>
      <c r="B19" s="48" t="inlineStr">
        <is>
          <t>Updated</t>
        </is>
      </c>
      <c r="C19" s="48" t="inlineStr">
        <is>
          <t>Description / steps / expected result corrected</t>
        </is>
      </c>
      <c r="D19" s="48" t="inlineStr">
        <is>
          <t>SRS FR3.2 requires scaling up to 150%.</t>
        </is>
      </c>
    </row>
    <row r="20">
      <c r="A20" s="48" t="inlineStr">
        <is>
          <t>NTF-06</t>
        </is>
      </c>
      <c r="B20" s="48" t="inlineStr">
        <is>
          <t>Updated</t>
        </is>
      </c>
      <c r="C20" s="48" t="inlineStr">
        <is>
          <t>Description / steps / expected result corrected</t>
        </is>
      </c>
      <c r="D20" s="48" t="inlineStr">
        <is>
          <t>SRS FR7.4 requires haptic alerts for messages.</t>
        </is>
      </c>
    </row>
    <row r="21">
      <c r="A21" s="48" t="inlineStr">
        <is>
          <t>API-02</t>
        </is>
      </c>
      <c r="B21" s="48" t="inlineStr">
        <is>
          <t>Updated</t>
        </is>
      </c>
      <c r="C21" s="48" t="inlineStr">
        <is>
          <t>Description / steps / expected result corrected</t>
        </is>
      </c>
      <c r="D21" s="48" t="inlineStr">
        <is>
          <t>Login returns token + refreshToken.</t>
        </is>
      </c>
    </row>
    <row r="22">
      <c r="A22" s="48" t="inlineStr">
        <is>
          <t>API-03</t>
        </is>
      </c>
      <c r="B22" s="48" t="inlineStr">
        <is>
          <t>Updated</t>
        </is>
      </c>
      <c r="C22" s="48" t="inlineStr">
        <is>
          <t>Description / steps / expected result corrected</t>
        </is>
      </c>
      <c r="D22" s="48" t="inlineStr">
        <is>
          <t>Real path is /api/auth/refresh-token; security check added.</t>
        </is>
      </c>
    </row>
    <row r="23">
      <c r="A23" s="48" t="inlineStr">
        <is>
          <t>API-05</t>
        </is>
      </c>
      <c r="B23" s="48" t="inlineStr">
        <is>
          <t>Updated</t>
        </is>
      </c>
      <c r="C23" s="48" t="inlineStr">
        <is>
          <t>Description / steps / expected result corrected</t>
        </is>
      </c>
      <c r="D23" s="48" t="inlineStr">
        <is>
          <t>Responders are notified with SOS_TRIGGERED notification and push events, not NEW_EMERGENCY.</t>
        </is>
      </c>
    </row>
    <row r="24">
      <c r="A24" s="48" t="inlineStr">
        <is>
          <t>API-06</t>
        </is>
      </c>
      <c r="B24" s="48" t="inlineStr">
        <is>
          <t>Updated</t>
        </is>
      </c>
      <c r="C24" s="48" t="inlineStr">
        <is>
          <t>Description / steps / expected result corrected</t>
        </is>
      </c>
      <c r="D24" s="48" t="inlineStr">
        <is>
          <t>Real endpoint is POST /api/responders/emergencies/:id/accept; concurrency added (FR5.1).</t>
        </is>
      </c>
    </row>
    <row r="25">
      <c r="A25" s="48" t="inlineStr">
        <is>
          <t>API-07</t>
        </is>
      </c>
      <c r="B25" s="48" t="inlineStr">
        <is>
          <t>Updated</t>
        </is>
      </c>
      <c r="C25" s="48" t="inlineStr">
        <is>
          <t>Description / steps / expected result corrected</t>
        </is>
      </c>
      <c r="D25" s="48" t="inlineStr">
        <is>
          <t>Only the assigned responder may update status.</t>
        </is>
      </c>
    </row>
    <row r="26">
      <c r="A26" s="48" t="inlineStr">
        <is>
          <t>API-12</t>
        </is>
      </c>
      <c r="B26" s="48" t="inlineStr">
        <is>
          <t>Updated</t>
        </is>
      </c>
      <c r="C26" s="48" t="inlineStr">
        <is>
          <t>Description / steps / expected result corrected</t>
        </is>
      </c>
      <c r="D26" s="48" t="inlineStr">
        <is>
          <t>Covers registration, report and chat uploads.</t>
        </is>
      </c>
    </row>
    <row r="27">
      <c r="A27" s="48" t="inlineStr">
        <is>
          <t>AUTH-13</t>
        </is>
      </c>
      <c r="B27" s="48" t="inlineStr">
        <is>
          <t>Added</t>
        </is>
      </c>
      <c r="C27" s="48" t="inlineStr">
        <is>
          <t>Account locks for 30 minutes after 5 failed login attempts</t>
        </is>
      </c>
      <c r="D27" s="48" t="inlineStr">
        <is>
          <t>SRS gap FR1.2</t>
        </is>
      </c>
    </row>
    <row r="28">
      <c r="A28" s="48" t="inlineStr">
        <is>
          <t>AUTH-14</t>
        </is>
      </c>
      <c r="B28" s="48" t="inlineStr">
        <is>
          <t>Added</t>
        </is>
      </c>
      <c r="C28" s="48" t="inlineStr">
        <is>
          <t>User resets a forgotten password with an emailed 6-digit OTP</t>
        </is>
      </c>
      <c r="D28" s="48" t="inlineStr">
        <is>
          <t>SRS gap FR1.5</t>
        </is>
      </c>
    </row>
    <row r="29">
      <c r="A29" s="48" t="inlineStr">
        <is>
          <t>AUTH-15</t>
        </is>
      </c>
      <c r="B29" s="48" t="inlineStr">
        <is>
          <t>Added</t>
        </is>
      </c>
      <c r="C29" s="48" t="inlineStr">
        <is>
          <t>Reset/verification code is invalidated after 5 wrong attempts</t>
        </is>
      </c>
      <c r="D29" s="48" t="inlineStr">
        <is>
          <t>SRS gap FR1.5</t>
        </is>
      </c>
    </row>
    <row r="30">
      <c r="A30" s="48" t="inlineStr">
        <is>
          <t>AUTH-16</t>
        </is>
      </c>
      <c r="B30" s="48" t="inlineStr">
        <is>
          <t>Added</t>
        </is>
      </c>
      <c r="C30" s="48" t="inlineStr">
        <is>
          <t>Public registration cannot create an ADMIN account</t>
        </is>
      </c>
      <c r="D30" s="48" t="inlineStr">
        <is>
          <t>SRS gap FR1.4, FR1.6</t>
        </is>
      </c>
    </row>
    <row r="31">
      <c r="A31" s="48" t="inlineStr">
        <is>
          <t>AUTH-17</t>
        </is>
      </c>
      <c r="B31" s="48" t="inlineStr">
        <is>
          <t>Added</t>
        </is>
      </c>
      <c r="C31" s="48" t="inlineStr">
        <is>
          <t>Deactivated account cannot log in and existing sessions stop working</t>
        </is>
      </c>
      <c r="D31" s="48" t="inlineStr">
        <is>
          <t>SRS gap FR9.3</t>
        </is>
      </c>
    </row>
    <row r="32">
      <c r="A32" s="48" t="inlineStr">
        <is>
          <t>SOS-10</t>
        </is>
      </c>
      <c r="B32" s="48" t="inlineStr">
        <is>
          <t>Added</t>
        </is>
      </c>
      <c r="C32" s="48" t="inlineStr">
        <is>
          <t>Patient selects a medical emergency category</t>
        </is>
      </c>
      <c r="D32" s="48" t="inlineStr">
        <is>
          <t>SRS gap FR4.4</t>
        </is>
      </c>
    </row>
    <row r="33">
      <c r="A33" s="48" t="inlineStr">
        <is>
          <t>SOS-11</t>
        </is>
      </c>
      <c r="B33" s="48" t="inlineStr">
        <is>
          <t>Added</t>
        </is>
      </c>
      <c r="C33" s="48" t="inlineStr">
        <is>
          <t>Patient sees responder ETA that updates while the responder moves</t>
        </is>
      </c>
      <c r="D33" s="48" t="inlineStr">
        <is>
          <t>SRS gap FR6.2</t>
        </is>
      </c>
    </row>
    <row r="34">
      <c r="A34" s="48" t="inlineStr">
        <is>
          <t>SOS-12</t>
        </is>
      </c>
      <c r="B34" s="48" t="inlineStr">
        <is>
          <t>Added</t>
        </is>
      </c>
      <c r="C34" s="48" t="inlineStr">
        <is>
          <t>A quick accidental tap on SOS does not start an emergency</t>
        </is>
      </c>
      <c r="D34" s="48" t="inlineStr">
        <is>
          <t>SRS gap FR4.1</t>
        </is>
      </c>
    </row>
    <row r="35">
      <c r="A35" s="48" t="inlineStr">
        <is>
          <t>SOS-13</t>
        </is>
      </c>
      <c r="B35" s="48" t="inlineStr">
        <is>
          <t>Added</t>
        </is>
      </c>
      <c r="C35" s="48" t="inlineStr">
        <is>
          <t>A second SOS while one is open returns the existing emergency (no duplicate dispatch)</t>
        </is>
      </c>
      <c r="D35" s="48" t="inlineStr">
        <is>
          <t>SRS gap FR4.5</t>
        </is>
      </c>
    </row>
    <row r="36">
      <c r="A36" s="48" t="inlineStr">
        <is>
          <t>SOS-14</t>
        </is>
      </c>
      <c r="B36" s="48" t="inlineStr">
        <is>
          <t>Added</t>
        </is>
      </c>
      <c r="C36" s="48" t="inlineStr">
        <is>
          <t>After sending, the patient can still cancel within the server cancellation window</t>
        </is>
      </c>
      <c r="D36" s="48" t="inlineStr">
        <is>
          <t>SRS gap FR4.3</t>
        </is>
      </c>
    </row>
    <row r="37">
      <c r="A37" s="48" t="inlineStr">
        <is>
          <t>SOS-15</t>
        </is>
      </c>
      <c r="B37" s="48" t="inlineStr">
        <is>
          <t>Added</t>
        </is>
      </c>
      <c r="C37" s="48" t="inlineStr">
        <is>
          <t>Offline patient can still call or SMS Rescue 1122</t>
        </is>
      </c>
      <c r="D37" s="48" t="inlineStr">
        <is>
          <t>New feature (beyond SRS)</t>
        </is>
      </c>
    </row>
    <row r="38">
      <c r="A38" s="48" t="inlineStr">
        <is>
          <t>SOS-16</t>
        </is>
      </c>
      <c r="B38" s="48" t="inlineStr">
        <is>
          <t>Added</t>
        </is>
      </c>
      <c r="C38" s="48" t="inlineStr">
        <is>
          <t>Patient rates the responder after resolution (once)</t>
        </is>
      </c>
      <c r="D38" s="48" t="inlineStr">
        <is>
          <t>New feature (beyond SRS)</t>
        </is>
      </c>
    </row>
    <row r="39">
      <c r="A39" s="48" t="inlineStr">
        <is>
          <t>RSP-10</t>
        </is>
      </c>
      <c r="B39" s="48" t="inlineStr">
        <is>
          <t>Added</t>
        </is>
      </c>
      <c r="C39" s="48" t="inlineStr">
        <is>
          <t>Responder resolves the emergency with an outcome</t>
        </is>
      </c>
      <c r="D39" s="48" t="inlineStr">
        <is>
          <t>SRS gap FR6.2</t>
        </is>
      </c>
    </row>
    <row r="40">
      <c r="A40" s="48" t="inlineStr">
        <is>
          <t>RSP-11</t>
        </is>
      </c>
      <c r="B40" s="48" t="inlineStr">
        <is>
          <t>Added</t>
        </is>
      </c>
      <c r="C40" s="48" t="inlineStr">
        <is>
          <t>Only one of two simultaneous accepts succeeds</t>
        </is>
      </c>
      <c r="D40" s="48" t="inlineStr">
        <is>
          <t>SRS gap FR5.1</t>
        </is>
      </c>
    </row>
    <row r="41">
      <c r="A41" s="48" t="inlineStr">
        <is>
          <t>RSP-12</t>
        </is>
      </c>
      <c r="B41" s="48" t="inlineStr">
        <is>
          <t>Added</t>
        </is>
      </c>
      <c r="C41" s="48" t="inlineStr">
        <is>
          <t>Offline responders are not dispatched</t>
        </is>
      </c>
      <c r="D41" s="48" t="inlineStr">
        <is>
          <t>SRS gap FR5.4</t>
        </is>
      </c>
    </row>
    <row r="42">
      <c r="A42" s="48" t="inlineStr">
        <is>
          <t>RSP-13</t>
        </is>
      </c>
      <c r="B42" s="48" t="inlineStr">
        <is>
          <t>Added</t>
        </is>
      </c>
      <c r="C42" s="48" t="inlineStr">
        <is>
          <t>Navigate opens turn-by-turn directions to the patient</t>
        </is>
      </c>
      <c r="D42" s="48" t="inlineStr">
        <is>
          <t>SRS gap FR6.4</t>
        </is>
      </c>
    </row>
    <row r="43">
      <c r="A43" s="48" t="inlineStr">
        <is>
          <t>RSP-14</t>
        </is>
      </c>
      <c r="B43" s="48" t="inlineStr">
        <is>
          <t>Added</t>
        </is>
      </c>
      <c r="C43" s="48" t="inlineStr">
        <is>
          <t>Responder location is shared live every few seconds during an active emergency</t>
        </is>
      </c>
      <c r="D43" s="48" t="inlineStr">
        <is>
          <t>SRS gap FR6.1</t>
        </is>
      </c>
    </row>
    <row r="44">
      <c r="A44" s="48" t="inlineStr">
        <is>
          <t>RSP-15</t>
        </is>
      </c>
      <c r="B44" s="48" t="inlineStr">
        <is>
          <t>Added</t>
        </is>
      </c>
      <c r="C44" s="48" t="inlineStr">
        <is>
          <t>Responder cancelling an accepted job re-dispatches the SOS</t>
        </is>
      </c>
      <c r="D44" s="48" t="inlineStr">
        <is>
          <t>New feature (beyond SRS)</t>
        </is>
      </c>
    </row>
    <row r="45">
      <c r="A45" s="48" t="inlineStr">
        <is>
          <t>CG-07</t>
        </is>
      </c>
      <c r="B45" s="48" t="inlineStr">
        <is>
          <t>Added</t>
        </is>
      </c>
      <c r="C45" s="48" t="inlineStr">
        <is>
          <t>Patient and caregiver link through an email invitation (many-to-many)</t>
        </is>
      </c>
      <c r="D45" s="48" t="inlineStr">
        <is>
          <t>SRS gap FR7.2</t>
        </is>
      </c>
    </row>
    <row r="46">
      <c r="A46" s="48" t="inlineStr">
        <is>
          <t>CG-08</t>
        </is>
      </c>
      <c r="B46" s="48" t="inlineStr">
        <is>
          <t>Added</t>
        </is>
      </c>
      <c r="C46" s="48" t="inlineStr">
        <is>
          <t>Caregiver sees the live map when a linked patient's SOS is accepted</t>
        </is>
      </c>
      <c r="D46" s="48" t="inlineStr">
        <is>
          <t>SRS gap FR6.3, FR6.2</t>
        </is>
      </c>
    </row>
    <row r="47">
      <c r="A47" s="48" t="inlineStr">
        <is>
          <t>CG-09</t>
        </is>
      </c>
      <c r="B47" s="48" t="inlineStr">
        <is>
          <t>Added</t>
        </is>
      </c>
      <c r="C47" s="48" t="inlineStr">
        <is>
          <t>Caregiver receives assigned / arrived / safe updates without duplicate SOS alerts</t>
        </is>
      </c>
      <c r="D47" s="48" t="inlineStr">
        <is>
          <t>SRS gap FR4.6</t>
        </is>
      </c>
    </row>
    <row r="48">
      <c r="A48" s="48" t="inlineStr">
        <is>
          <t>CG-10</t>
        </is>
      </c>
      <c r="B48" s="48" t="inlineStr">
        <is>
          <t>Added</t>
        </is>
      </c>
      <c r="C48" s="48" t="inlineStr">
        <is>
          <t>Caregiver emergency history shows real data</t>
        </is>
      </c>
      <c r="D48" s="48" t="inlineStr">
        <is>
          <t>New feature (beyond SRS)</t>
        </is>
      </c>
    </row>
    <row r="49">
      <c r="A49" s="48" t="inlineStr">
        <is>
          <t>CHT-07</t>
        </is>
      </c>
      <c r="B49" s="48" t="inlineStr">
        <is>
          <t>Added</t>
        </is>
      </c>
      <c r="C49" s="48" t="inlineStr">
        <is>
          <t>Patient and assigned responder chat during an emergency</t>
        </is>
      </c>
      <c r="D49" s="48" t="inlineStr">
        <is>
          <t>SRS gap FR3.4</t>
        </is>
      </c>
    </row>
    <row r="50">
      <c r="A50" s="48" t="inlineStr">
        <is>
          <t>CHT-08</t>
        </is>
      </c>
      <c r="B50" s="48" t="inlineStr">
        <is>
          <t>Added</t>
        </is>
      </c>
      <c r="C50" s="48" t="inlineStr">
        <is>
          <t>One caregiver chats separately with multiple patients</t>
        </is>
      </c>
      <c r="D50" s="48" t="inlineStr">
        <is>
          <t>SRS gap FR7.2</t>
        </is>
      </c>
    </row>
    <row r="51">
      <c r="A51" s="48" t="inlineStr">
        <is>
          <t>CHT-09</t>
        </is>
      </c>
      <c r="B51" s="48" t="inlineStr">
        <is>
          <t>Added</t>
        </is>
      </c>
      <c r="C51" s="48" t="inlineStr">
        <is>
          <t>Messages in one room are never visible to non-members</t>
        </is>
      </c>
      <c r="D51" s="48" t="inlineStr">
        <is>
          <t>SRS gap FR7.3</t>
        </is>
      </c>
    </row>
    <row r="52">
      <c r="A52" s="48" t="inlineStr">
        <is>
          <t>CHT-10</t>
        </is>
      </c>
      <c r="B52" s="48" t="inlineStr">
        <is>
          <t>Added</t>
        </is>
      </c>
      <c r="C52" s="48" t="inlineStr">
        <is>
          <t>New message notification with haptic feedback</t>
        </is>
      </c>
      <c r="D52" s="48" t="inlineStr">
        <is>
          <t>SRS gap FR7.4, FR3.3</t>
        </is>
      </c>
    </row>
    <row r="53">
      <c r="A53" s="48" t="inlineStr">
        <is>
          <t>CHT-11</t>
        </is>
      </c>
      <c r="B53" s="48" t="inlineStr">
        <is>
          <t>Added</t>
        </is>
      </c>
      <c r="C53" s="48" t="inlineStr">
        <is>
          <t>Chat history persists across app restarts</t>
        </is>
      </c>
      <c r="D53" s="48" t="inlineStr">
        <is>
          <t>SRS gap FR7.5</t>
        </is>
      </c>
    </row>
    <row r="54">
      <c r="A54" s="48" t="inlineStr">
        <is>
          <t>CHT-12</t>
        </is>
      </c>
      <c r="B54" s="48" t="inlineStr">
        <is>
          <t>Added</t>
        </is>
      </c>
      <c r="C54" s="48" t="inlineStr">
        <is>
          <t>Send image, document, voice note and current location</t>
        </is>
      </c>
      <c r="D54" s="48" t="inlineStr">
        <is>
          <t>New feature (beyond SRS)</t>
        </is>
      </c>
    </row>
    <row r="55">
      <c r="A55" s="48" t="inlineStr">
        <is>
          <t>ACC-12</t>
        </is>
      </c>
      <c r="B55" s="48" t="inlineStr">
        <is>
          <t>Added</t>
        </is>
      </c>
      <c r="C55" s="48" t="inlineStr">
        <is>
          <t>Deaf patient gets a full-screen visual alert when help is assigned and arrives</t>
        </is>
      </c>
      <c r="D55" s="48" t="inlineStr">
        <is>
          <t>SRS gap FR3.1</t>
        </is>
      </c>
    </row>
    <row r="56">
      <c r="A56" s="48" t="inlineStr">
        <is>
          <t>ACC-13</t>
        </is>
      </c>
      <c r="B56" s="48" t="inlineStr">
        <is>
          <t>Added</t>
        </is>
      </c>
      <c r="C56" s="48" t="inlineStr">
        <is>
          <t>Deaf patient can show a communication card to bystanders</t>
        </is>
      </c>
      <c r="D56" s="48" t="inlineStr">
        <is>
          <t>SRS gap FR3.4</t>
        </is>
      </c>
    </row>
    <row r="57">
      <c r="A57" s="48" t="inlineStr">
        <is>
          <t>ACC-14</t>
        </is>
      </c>
      <c r="B57" s="48" t="inlineStr">
        <is>
          <t>Added</t>
        </is>
      </c>
      <c r="C57" s="48" t="inlineStr">
        <is>
          <t>Accessibility settings are saved per user account</t>
        </is>
      </c>
      <c r="D57" s="48" t="inlineStr">
        <is>
          <t>SRS gap FR3.2</t>
        </is>
      </c>
    </row>
    <row r="58">
      <c r="A58" s="48" t="inlineStr">
        <is>
          <t>NTF-09</t>
        </is>
      </c>
      <c r="B58" s="48" t="inlineStr">
        <is>
          <t>Added</t>
        </is>
      </c>
      <c r="C58" s="48" t="inlineStr">
        <is>
          <t>Push notifications arrive when the app is closed (self-hosted, no Firebase)</t>
        </is>
      </c>
      <c r="D58" s="48" t="inlineStr">
        <is>
          <t>New feature (beyond SRS)</t>
        </is>
      </c>
    </row>
    <row r="59">
      <c r="A59" s="48" t="inlineStr">
        <is>
          <t>NTF-10</t>
        </is>
      </c>
      <c r="B59" s="48" t="inlineStr">
        <is>
          <t>Added</t>
        </is>
      </c>
      <c r="C59" s="48" t="inlineStr">
        <is>
          <t>Notifications missed while offline are delivered after reconnect</t>
        </is>
      </c>
      <c r="D59" s="48" t="inlineStr">
        <is>
          <t>New feature (beyond SRS)</t>
        </is>
      </c>
    </row>
    <row r="60">
      <c r="A60" s="48" t="inlineStr">
        <is>
          <t>NTF-11</t>
        </is>
      </c>
      <c r="B60" s="48" t="inlineStr">
        <is>
          <t>Added</t>
        </is>
      </c>
      <c r="C60" s="48" t="inlineStr">
        <is>
          <t>Tapping a notification opens the correct screen for the role</t>
        </is>
      </c>
      <c r="D60" s="48" t="inlineStr">
        <is>
          <t>New feature (beyond SRS)</t>
        </is>
      </c>
    </row>
    <row r="61">
      <c r="A61" s="48" t="inlineStr">
        <is>
          <t>NTF-12</t>
        </is>
      </c>
      <c r="B61" s="48" t="inlineStr">
        <is>
          <t>Added</t>
        </is>
      </c>
      <c r="C61" s="48" t="inlineStr">
        <is>
          <t>Expired emergency alerts are never shown late</t>
        </is>
      </c>
      <c r="D61" s="48" t="inlineStr">
        <is>
          <t>New feature (beyond SRS)</t>
        </is>
      </c>
    </row>
    <row r="62">
      <c r="A62" s="48" t="inlineStr">
        <is>
          <t>ADM-09</t>
        </is>
      </c>
      <c r="B62" s="48" t="inlineStr">
        <is>
          <t>Added</t>
        </is>
      </c>
      <c r="C62" s="48" t="inlineStr">
        <is>
          <t>Admin filters users by role and status</t>
        </is>
      </c>
      <c r="D62" s="48" t="inlineStr">
        <is>
          <t>SRS gap FR9.2</t>
        </is>
      </c>
    </row>
    <row r="63">
      <c r="A63" s="48" t="inlineStr">
        <is>
          <t>ADM-10</t>
        </is>
      </c>
      <c r="B63" s="48" t="inlineStr">
        <is>
          <t>Added</t>
        </is>
      </c>
      <c r="C63" s="48" t="inlineStr">
        <is>
          <t>Admin deletes a user account (soft delete, audit preserved)</t>
        </is>
      </c>
      <c r="D63" s="48" t="inlineStr">
        <is>
          <t>SRS gap FR9.3</t>
        </is>
      </c>
    </row>
    <row r="64">
      <c r="A64" s="48" t="inlineStr">
        <is>
          <t>ADM-11</t>
        </is>
      </c>
      <c r="B64" s="48" t="inlineStr">
        <is>
          <t>Added</t>
        </is>
      </c>
      <c r="C64" s="48" t="inlineStr">
        <is>
          <t>Admin live map shows active SOS and moving responders</t>
        </is>
      </c>
      <c r="D64" s="48" t="inlineStr">
        <is>
          <t>SRS gap FR6.1</t>
        </is>
      </c>
    </row>
    <row r="65">
      <c r="A65" s="48" t="inlineStr">
        <is>
          <t>ADM-12</t>
        </is>
      </c>
      <c r="B65" s="48" t="inlineStr">
        <is>
          <t>Added</t>
        </is>
      </c>
      <c r="C65" s="48" t="inlineStr">
        <is>
          <t>Admin changes or cancels a user's subscription plan</t>
        </is>
      </c>
      <c r="D65" s="48" t="inlineStr">
        <is>
          <t>New feature (beyond SRS)</t>
        </is>
      </c>
    </row>
    <row r="66">
      <c r="A66" s="48" t="inlineStr">
        <is>
          <t>ADM-13</t>
        </is>
      </c>
      <c r="B66" s="48" t="inlineStr">
        <is>
          <t>Added</t>
        </is>
      </c>
      <c r="C66" s="48" t="inlineStr">
        <is>
          <t>Maintenance mode blocks non-admin API usage</t>
        </is>
      </c>
      <c r="D66" s="48" t="inlineStr">
        <is>
          <t>New feature (beyond SRS)</t>
        </is>
      </c>
    </row>
    <row r="67">
      <c r="A67" s="48" t="inlineStr">
        <is>
          <t>API-13</t>
        </is>
      </c>
      <c r="B67" s="48" t="inlineStr">
        <is>
          <t>Added</t>
        </is>
      </c>
      <c r="C67" s="48" t="inlineStr">
        <is>
          <t>GET /api/emergencies/history — patient own / caregiver linked patients</t>
        </is>
      </c>
      <c r="D67" s="48" t="inlineStr">
        <is>
          <t>SRS gap FR6.3</t>
        </is>
      </c>
    </row>
    <row r="68">
      <c r="A68" s="48" t="inlineStr">
        <is>
          <t>API-14</t>
        </is>
      </c>
      <c r="B68" s="48" t="inlineStr">
        <is>
          <t>Added</t>
        </is>
      </c>
      <c r="C68" s="48" t="inlineStr">
        <is>
          <t>GET /api/notifications/pending and POST /api/notifications/ack</t>
        </is>
      </c>
      <c r="D68" s="48" t="inlineStr">
        <is>
          <t>New feature (beyond SRS)</t>
        </is>
      </c>
    </row>
    <row r="69">
      <c r="A69" s="48" t="inlineStr">
        <is>
          <t>API-15</t>
        </is>
      </c>
      <c r="B69" s="48" t="inlineStr">
        <is>
          <t>Added</t>
        </is>
      </c>
      <c r="C69" s="48" t="inlineStr">
        <is>
          <t>GET /api/emergencies/:id enforces access control</t>
        </is>
      </c>
      <c r="D69" s="48" t="inlineStr">
        <is>
          <t>SRS gap FR2.6</t>
        </is>
      </c>
    </row>
    <row r="70">
      <c r="A70" s="48" t="inlineStr">
        <is>
          <t>API-16</t>
        </is>
      </c>
      <c r="B70" s="48" t="inlineStr">
        <is>
          <t>Added</t>
        </is>
      </c>
      <c r="C70" s="48" t="inlineStr">
        <is>
          <t>Socket.io connections require a valid JWT</t>
        </is>
      </c>
      <c r="D70" s="48" t="inlineStr">
        <is>
          <t>SRS gap FR6.1</t>
        </is>
      </c>
    </row>
    <row r="71">
      <c r="A71" s="48" t="inlineStr">
        <is>
          <t>PRV-01</t>
        </is>
      </c>
      <c r="B71" s="48" t="inlineStr">
        <is>
          <t>Added</t>
        </is>
      </c>
      <c r="C71" s="48" t="inlineStr">
        <is>
          <t>Phone number and email are hidden from users without a care or emergency relationship</t>
        </is>
      </c>
      <c r="D71" s="48" t="inlineStr">
        <is>
          <t>New sheet PRIVACY_CALLS; SRS FR7.3</t>
        </is>
      </c>
    </row>
    <row r="72">
      <c r="A72" s="48" t="inlineStr">
        <is>
          <t>PRV-02</t>
        </is>
      </c>
      <c r="B72" s="48" t="inlineStr">
        <is>
          <t>Added</t>
        </is>
      </c>
      <c r="C72" s="48" t="inlineStr">
        <is>
          <t>Patient and linked caregiver can see each other's phone number</t>
        </is>
      </c>
      <c r="D72" s="48" t="inlineStr">
        <is>
          <t>New sheet PRIVACY_CALLS; SRS FR7.3</t>
        </is>
      </c>
    </row>
    <row r="73">
      <c r="A73" s="48" t="inlineStr">
        <is>
          <t>PRV-03</t>
        </is>
      </c>
      <c r="B73" s="48" t="inlineStr">
        <is>
          <t>Added</t>
        </is>
      </c>
      <c r="C73" s="48" t="inlineStr">
        <is>
          <t>A dispatched responder who has not accepted sees the medical summary but not the patient's contact details</t>
        </is>
      </c>
      <c r="D73" s="48" t="inlineStr">
        <is>
          <t>New sheet PRIVACY_CALLS; SRS FR5.3</t>
        </is>
      </c>
    </row>
    <row r="74">
      <c r="A74" s="48" t="inlineStr">
        <is>
          <t>PRV-04</t>
        </is>
      </c>
      <c r="B74" s="48" t="inlineStr">
        <is>
          <t>Added</t>
        </is>
      </c>
      <c r="C74" s="48" t="inlineStr">
        <is>
          <t>During an open emergency the patient, caregiver and assigned responder can reach each other</t>
        </is>
      </c>
      <c r="D74" s="48" t="inlineStr">
        <is>
          <t>New sheet PRIVACY_CALLS; SRS FR5.3</t>
        </is>
      </c>
    </row>
    <row r="75">
      <c r="A75" s="48" t="inlineStr">
        <is>
          <t>PRV-05</t>
        </is>
      </c>
      <c r="B75" s="48" t="inlineStr">
        <is>
          <t>Added</t>
        </is>
      </c>
      <c r="C75" s="48" t="inlineStr">
        <is>
          <t>When the responder's job is done, contact details are hidden again</t>
        </is>
      </c>
      <c r="D75" s="48" t="inlineStr">
        <is>
          <t>New sheet PRIVACY_CALLS; beyond SRS</t>
        </is>
      </c>
    </row>
    <row r="76">
      <c r="A76" s="48" t="inlineStr">
        <is>
          <t>PRV-06</t>
        </is>
      </c>
      <c r="B76" s="48" t="inlineStr">
        <is>
          <t>Added</t>
        </is>
      </c>
      <c r="C76" s="48" t="inlineStr">
        <is>
          <t>Responder history and the nearby-responder list never expose contact details</t>
        </is>
      </c>
      <c r="D76" s="48" t="inlineStr">
        <is>
          <t>New sheet PRIVACY_CALLS; beyond SRS</t>
        </is>
      </c>
    </row>
    <row r="77">
      <c r="A77" s="48" t="inlineStr">
        <is>
          <t>PRV-07</t>
        </is>
      </c>
      <c r="B77" s="48" t="inlineStr">
        <is>
          <t>Added</t>
        </is>
      </c>
      <c r="C77" s="48" t="inlineStr">
        <is>
          <t>When one responder accepts, other dispatched requests are closed as taken by another responder</t>
        </is>
      </c>
      <c r="D77" s="48" t="inlineStr">
        <is>
          <t>New sheet PRIVACY_CALLS; SRS FR5.1</t>
        </is>
      </c>
    </row>
    <row r="78">
      <c r="A78" s="48" t="inlineStr">
        <is>
          <t>LCK-01</t>
        </is>
      </c>
      <c r="B78" s="48" t="inlineStr">
        <is>
          <t>Added</t>
        </is>
      </c>
      <c r="C78" s="48" t="inlineStr">
        <is>
          <t>Patient and assigned responder can chat while the emergency is open</t>
        </is>
      </c>
      <c r="D78" s="48" t="inlineStr">
        <is>
          <t>New sheet PRIVACY_CALLS; SRS FR7.3</t>
        </is>
      </c>
    </row>
    <row r="79">
      <c r="A79" s="48" t="inlineStr">
        <is>
          <t>LCK-02</t>
        </is>
      </c>
      <c r="B79" s="48" t="inlineStr">
        <is>
          <t>Added</t>
        </is>
      </c>
      <c r="C79" s="48" t="inlineStr">
        <is>
          <t>After the emergency ends the chat is read-only for both sides</t>
        </is>
      </c>
      <c r="D79" s="48" t="inlineStr">
        <is>
          <t>New sheet PRIVACY_CALLS; beyond SRS</t>
        </is>
      </c>
    </row>
    <row r="80">
      <c r="A80" s="48" t="inlineStr">
        <is>
          <t>LCK-03</t>
        </is>
      </c>
      <c r="B80" s="48" t="inlineStr">
        <is>
          <t>Added</t>
        </is>
      </c>
      <c r="C80" s="48" t="inlineStr">
        <is>
          <t>App shows the closed state in an ended emergency chat</t>
        </is>
      </c>
      <c r="D80" s="48" t="inlineStr">
        <is>
          <t>New sheet PRIVACY_CALLS; beyond SRS</t>
        </is>
      </c>
    </row>
    <row r="81">
      <c r="A81" s="48" t="inlineStr">
        <is>
          <t>PHN-01</t>
        </is>
      </c>
      <c r="B81" s="48" t="inlineStr">
        <is>
          <t>Added</t>
        </is>
      </c>
      <c r="C81" s="48" t="inlineStr">
        <is>
          <t>Hearing patient calls the assigned responder from the tracking screen (use case UC4)</t>
        </is>
      </c>
      <c r="D81" s="48" t="inlineStr">
        <is>
          <t>New sheet PRIVACY_CALLS; beyond SRS</t>
        </is>
      </c>
    </row>
    <row r="82">
      <c r="A82" s="48" t="inlineStr">
        <is>
          <t>PHN-02</t>
        </is>
      </c>
      <c r="B82" s="48" t="inlineStr">
        <is>
          <t>Added</t>
        </is>
      </c>
      <c r="C82" s="48" t="inlineStr">
        <is>
          <t>Responder calls a hearing patient from the active emergency (use case UC7)</t>
        </is>
      </c>
      <c r="D82" s="48" t="inlineStr">
        <is>
          <t>New sheet PRIVACY_CALLS; beyond SRS</t>
        </is>
      </c>
    </row>
    <row r="83">
      <c r="A83" s="48" t="inlineStr">
        <is>
          <t>PHN-03</t>
        </is>
      </c>
      <c r="B83" s="48" t="inlineStr">
        <is>
          <t>Added</t>
        </is>
      </c>
      <c r="C83" s="48" t="inlineStr">
        <is>
          <t>Call button in the chat header for patient ↔ caregiver and open emergency chats</t>
        </is>
      </c>
      <c r="D83" s="48" t="inlineStr">
        <is>
          <t>New sheet PRIVACY_CALLS; beyond SRS</t>
        </is>
      </c>
    </row>
    <row r="84">
      <c r="A84" s="48" t="inlineStr">
        <is>
          <t>PHN-04</t>
        </is>
      </c>
      <c r="B84" s="48" t="inlineStr">
        <is>
          <t>Added</t>
        </is>
      </c>
      <c r="C84" s="48" t="inlineStr">
        <is>
          <t>No voice-call options are offered in a Deaf patient's chats</t>
        </is>
      </c>
      <c r="D84" s="48" t="inlineStr">
        <is>
          <t>New sheet PRIVACY_CALLS; SRS FR3.1</t>
        </is>
      </c>
    </row>
    <row r="85">
      <c r="A85" s="48" t="inlineStr">
        <is>
          <t>CALL-01</t>
        </is>
      </c>
      <c r="B85" s="48" t="inlineStr">
        <is>
          <t>Added</t>
        </is>
      </c>
      <c r="C85" s="48" t="inlineStr">
        <is>
          <t>Patient calls a linked caregiver in the app</t>
        </is>
      </c>
      <c r="D85" s="48" t="inlineStr">
        <is>
          <t>New sheet PRIVACY_CALLS; beyond SRS</t>
        </is>
      </c>
    </row>
    <row r="86">
      <c r="A86" s="48" t="inlineStr">
        <is>
          <t>CALL-02</t>
        </is>
      </c>
      <c r="B86" s="48" t="inlineStr">
        <is>
          <t>Added</t>
        </is>
      </c>
      <c r="C86" s="48" t="inlineStr">
        <is>
          <t>Only the two participants exchange call signals; busy users cannot be called</t>
        </is>
      </c>
      <c r="D86" s="48" t="inlineStr">
        <is>
          <t>New sheet PRIVACY_CALLS; beyond SRS</t>
        </is>
      </c>
    </row>
    <row r="87">
      <c r="A87" s="48" t="inlineStr">
        <is>
          <t>CALL-03</t>
        </is>
      </c>
      <c r="B87" s="48" t="inlineStr">
        <is>
          <t>Added</t>
        </is>
      </c>
      <c r="C87" s="48" t="inlineStr">
        <is>
          <t>Calls with a Deaf patient are video only</t>
        </is>
      </c>
      <c r="D87" s="48" t="inlineStr">
        <is>
          <t>New sheet PRIVACY_CALLS; SRS FR3.1</t>
        </is>
      </c>
    </row>
    <row r="88">
      <c r="A88" s="48" t="inlineStr">
        <is>
          <t>CALL-04</t>
        </is>
      </c>
      <c r="B88" s="48" t="inlineStr">
        <is>
          <t>Added</t>
        </is>
      </c>
      <c r="C88" s="48" t="inlineStr">
        <is>
          <t>Decline and cancel</t>
        </is>
      </c>
      <c r="D88" s="48" t="inlineStr">
        <is>
          <t>New sheet PRIVACY_CALLS; beyond SRS</t>
        </is>
      </c>
    </row>
    <row r="89">
      <c r="A89" s="48" t="inlineStr">
        <is>
          <t>CALL-05</t>
        </is>
      </c>
      <c r="B89" s="48" t="inlineStr">
        <is>
          <t>Added</t>
        </is>
      </c>
      <c r="C89" s="48" t="inlineStr">
        <is>
          <t>Unanswered call stops ringing after 45 seconds</t>
        </is>
      </c>
      <c r="D89" s="48" t="inlineStr">
        <is>
          <t>New sheet PRIVACY_CALLS; beyond SRS</t>
        </is>
      </c>
    </row>
    <row r="90">
      <c r="A90" s="48" t="inlineStr">
        <is>
          <t>CALL-06</t>
        </is>
      </c>
      <c r="B90" s="48" t="inlineStr">
        <is>
          <t>Added</t>
        </is>
      </c>
      <c r="C90" s="48" t="inlineStr">
        <is>
          <t>Responder calls are tied to the open emergency</t>
        </is>
      </c>
      <c r="D90" s="48" t="inlineStr">
        <is>
          <t>New sheet PRIVACY_CALLS; beyond SRS</t>
        </is>
      </c>
    </row>
    <row r="91">
      <c r="A91" s="48" t="inlineStr">
        <is>
          <t>CALL-07</t>
        </is>
      </c>
      <c r="B91" s="48" t="inlineStr">
        <is>
          <t>Added</t>
        </is>
      </c>
      <c r="C91" s="48" t="inlineStr">
        <is>
          <t>Call start/end/decline/miss are recorded in the audit log</t>
        </is>
      </c>
      <c r="D91" s="48" t="inlineStr">
        <is>
          <t>New sheet PRIVACY_CALLS; beyond SRS</t>
        </is>
      </c>
    </row>
    <row r="92">
      <c r="A92" s="48" t="inlineStr">
        <is>
          <t>CALL-08</t>
        </is>
      </c>
      <c r="B92" s="48" t="inlineStr">
        <is>
          <t>Added</t>
        </is>
      </c>
      <c r="C92" s="48" t="inlineStr">
        <is>
          <t>Voice call connects with audio both ways</t>
        </is>
      </c>
      <c r="D92" s="48" t="inlineStr">
        <is>
          <t>New sheet PRIVACY_CALLS; beyond SRS</t>
        </is>
      </c>
    </row>
    <row r="93">
      <c r="A93" s="48" t="inlineStr">
        <is>
          <t>CALL-09</t>
        </is>
      </c>
      <c r="B93" s="48" t="inlineStr">
        <is>
          <t>Added</t>
        </is>
      </c>
      <c r="C93" s="48" t="inlineStr">
        <is>
          <t>Video call shows the remote video and local preview</t>
        </is>
      </c>
      <c r="D93" s="48" t="inlineStr">
        <is>
          <t>New sheet PRIVACY_CALLS; beyond SRS</t>
        </is>
      </c>
    </row>
    <row r="94">
      <c r="A94" s="48" t="inlineStr">
        <is>
          <t>CALL-10</t>
        </is>
      </c>
      <c r="B94" s="48" t="inlineStr">
        <is>
          <t>Added</t>
        </is>
      </c>
      <c r="C94" s="48" t="inlineStr">
        <is>
          <t>Incoming call reaches a phone with the app in the background</t>
        </is>
      </c>
      <c r="D94" s="48" t="inlineStr">
        <is>
          <t>New sheet PRIVACY_CALLS; beyond SRS</t>
        </is>
      </c>
    </row>
    <row r="95">
      <c r="A95" s="48" t="inlineStr">
        <is>
          <t>CALL-11</t>
        </is>
      </c>
      <c r="B95" s="48" t="inlineStr">
        <is>
          <t>Added</t>
        </is>
      </c>
      <c r="C95" s="48" t="inlineStr">
        <is>
          <t>Deaf patient sees only video call buttons and a visual incoming-call alert</t>
        </is>
      </c>
      <c r="D95" s="48" t="inlineStr">
        <is>
          <t>New sheet PRIVACY_CALLS; SRS FR3.1</t>
        </is>
      </c>
    </row>
    <row r="96">
      <c r="A96" s="48" t="inlineStr">
        <is>
          <t>PERF-01</t>
        </is>
      </c>
      <c r="B96" s="48" t="inlineStr">
        <is>
          <t>Added</t>
        </is>
      </c>
      <c r="C96" s="48" t="inlineStr">
        <is>
          <t>SOS countdown opens immediately after Send SOS</t>
        </is>
      </c>
      <c r="D96" s="48" t="inlineStr">
        <is>
          <t>New sheet PRIVACY_CALLS; SRS FR8.4</t>
        </is>
      </c>
    </row>
    <row r="97">
      <c r="A97" s="48" t="inlineStr">
        <is>
          <t>PERF-02</t>
        </is>
      </c>
      <c r="B97" s="48" t="inlineStr">
        <is>
          <t>Added</t>
        </is>
      </c>
      <c r="C97" s="48" t="inlineStr">
        <is>
          <t>Responder reaches navigation right after accepting</t>
        </is>
      </c>
      <c r="D97" s="48" t="inlineStr">
        <is>
          <t>New sheet PRIVACY_CALLS; SRS FR8.4</t>
        </is>
      </c>
    </row>
    <row r="98">
      <c r="A98" s="48" t="inlineStr">
        <is>
          <t>PERF-03</t>
        </is>
      </c>
      <c r="B98" s="48" t="inlineStr">
        <is>
          <t>Added</t>
        </is>
      </c>
      <c r="C98" s="48" t="inlineStr">
        <is>
          <t>Responder marker moves smoothly along the road</t>
        </is>
      </c>
      <c r="D98" s="48" t="inlineStr">
        <is>
          <t>New sheet PRIVACY_CALLS; SRS FR6.2</t>
        </is>
      </c>
    </row>
    <row r="99">
      <c r="A99" s="48" t="inlineStr">
        <is>
          <t>AI-01</t>
        </is>
      </c>
      <c r="B99" s="48" t="inlineStr">
        <is>
          <t>Added</t>
        </is>
      </c>
      <c r="C99" s="48" t="inlineStr">
        <is>
          <t>AI symptom check suggests the emergency type</t>
        </is>
      </c>
      <c r="D99" s="48" t="inlineStr">
        <is>
          <t>New sheet PRIVACY_CALLS; beyond SRS</t>
        </is>
      </c>
    </row>
    <row r="100">
      <c r="A100" s="48" t="inlineStr">
        <is>
          <t>AI-02</t>
        </is>
      </c>
      <c r="B100" s="48" t="inlineStr">
        <is>
          <t>Added</t>
        </is>
      </c>
      <c r="C100" s="48" t="inlineStr">
        <is>
          <t>AI quick replies are personalised for a Deaf patient</t>
        </is>
      </c>
      <c r="D100" s="48" t="inlineStr">
        <is>
          <t>New sheet PRIVACY_CALLS; beyond SRS</t>
        </is>
      </c>
    </row>
    <row r="101">
      <c r="A101" s="48" t="inlineStr">
        <is>
          <t>UX-01</t>
        </is>
      </c>
      <c r="B101" s="48" t="inlineStr">
        <is>
          <t>Added</t>
        </is>
      </c>
      <c r="C101" s="48" t="inlineStr">
        <is>
          <t>App stays in portrait when the phone is rotated</t>
        </is>
      </c>
      <c r="D101" s="48" t="inlineStr">
        <is>
          <t>New sheet PRIVACY_CALLS; SRS NFR</t>
        </is>
      </c>
    </row>
    <row r="102">
      <c r="A102" s="48" t="inlineStr">
        <is>
          <t>UX-02</t>
        </is>
      </c>
      <c r="B102" s="48" t="inlineStr">
        <is>
          <t>Added</t>
        </is>
      </c>
      <c r="C102" s="48" t="inlineStr">
        <is>
          <t>On a tablet or wide screen the app is centred, not stretched or stuck to one side</t>
        </is>
      </c>
      <c r="D102" s="48" t="inlineStr">
        <is>
          <t>New sheet PRIVACY_CALLS; SRS NFR</t>
        </is>
      </c>
    </row>
    <row r="103">
      <c r="A103" s="48" t="inlineStr">
        <is>
          <t>MED-01</t>
        </is>
      </c>
      <c r="B103" s="48" t="inlineStr">
        <is>
          <t>Added</t>
        </is>
      </c>
      <c r="C103" s="48" t="inlineStr">
        <is>
          <t>Patient creates and edits the medical profile</t>
        </is>
      </c>
      <c r="D103" s="48" t="inlineStr">
        <is>
          <t>New sheet MEDICAL; SRS FR2.1, FR2.2</t>
        </is>
      </c>
    </row>
    <row r="104">
      <c r="A104" s="48" t="inlineStr">
        <is>
          <t>MED-02</t>
        </is>
      </c>
      <c r="B104" s="48" t="inlineStr">
        <is>
          <t>Added</t>
        </is>
      </c>
      <c r="C104" s="48" t="inlineStr">
        <is>
          <t>Saving the medical profile keeps emergency contacts and quick phrases</t>
        </is>
      </c>
      <c r="D104" s="48" t="inlineStr">
        <is>
          <t>New sheet MEDICAL; SRS FR2.1</t>
        </is>
      </c>
    </row>
    <row r="105">
      <c r="A105" s="48" t="inlineStr">
        <is>
          <t>MED-03</t>
        </is>
      </c>
      <c r="B105" s="48" t="inlineStr">
        <is>
          <t>Added</t>
        </is>
      </c>
      <c r="C105" s="48" t="inlineStr">
        <is>
          <t>Patient adds, calls and deletes emergency contacts</t>
        </is>
      </c>
      <c r="D105" s="48" t="inlineStr">
        <is>
          <t>New sheet MEDICAL; SRS FR2.1</t>
        </is>
      </c>
    </row>
    <row r="106">
      <c r="A106" s="48" t="inlineStr">
        <is>
          <t>MED-04</t>
        </is>
      </c>
      <c r="B106" s="48" t="inlineStr">
        <is>
          <t>Added</t>
        </is>
      </c>
      <c r="C106" s="48" t="inlineStr">
        <is>
          <t>Sensitive medical fields are encrypted at rest</t>
        </is>
      </c>
      <c r="D106" s="48" t="inlineStr">
        <is>
          <t>New sheet MEDICAL; SRS FR2.2</t>
        </is>
      </c>
    </row>
    <row r="107">
      <c r="A107" s="48" t="inlineStr">
        <is>
          <t>MED-05</t>
        </is>
      </c>
      <c r="B107" s="48" t="inlineStr">
        <is>
          <t>Added</t>
        </is>
      </c>
      <c r="C107" s="48" t="inlineStr">
        <is>
          <t>Upload a report from camera, gallery (image) and PDF</t>
        </is>
      </c>
      <c r="D107" s="48" t="inlineStr">
        <is>
          <t>New sheet MEDICAL; SRS FR2.3</t>
        </is>
      </c>
    </row>
    <row r="108">
      <c r="A108" s="48" t="inlineStr">
        <is>
          <t>MED-06</t>
        </is>
      </c>
      <c r="B108" s="48" t="inlineStr">
        <is>
          <t>Added</t>
        </is>
      </c>
      <c r="C108" s="48" t="inlineStr">
        <is>
          <t>Unsupported or oversized files are rejected with a clear message</t>
        </is>
      </c>
      <c r="D108" s="48" t="inlineStr">
        <is>
          <t>New sheet MEDICAL; SRS FR2.3</t>
        </is>
      </c>
    </row>
    <row r="109">
      <c r="A109" s="48" t="inlineStr">
        <is>
          <t>MED-07</t>
        </is>
      </c>
      <c r="B109" s="48" t="inlineStr">
        <is>
          <t>Added</t>
        </is>
      </c>
      <c r="C109" s="48" t="inlineStr">
        <is>
          <t>View, rename and delete a report</t>
        </is>
      </c>
      <c r="D109" s="48" t="inlineStr">
        <is>
          <t>New sheet MEDICAL; SRS FR2.4</t>
        </is>
      </c>
    </row>
    <row r="110">
      <c r="A110" s="48" t="inlineStr">
        <is>
          <t>MED-08</t>
        </is>
      </c>
      <c r="B110" s="48" t="inlineStr">
        <is>
          <t>Added</t>
        </is>
      </c>
      <c r="C110" s="48" t="inlineStr">
        <is>
          <t>Assigned responder receives the patient medical summary on accept</t>
        </is>
      </c>
      <c r="D110" s="48" t="inlineStr">
        <is>
          <t>New sheet MEDICAL; SRS FR2.5</t>
        </is>
      </c>
    </row>
    <row r="111">
      <c r="A111" s="48" t="inlineStr">
        <is>
          <t>MED-09</t>
        </is>
      </c>
      <c r="B111" s="48" t="inlineStr">
        <is>
          <t>Added</t>
        </is>
      </c>
      <c r="C111" s="48" t="inlineStr">
        <is>
          <t>Report files are visible only to the patient, linked caregivers, the active responder and admins</t>
        </is>
      </c>
      <c r="D111" s="48" t="inlineStr">
        <is>
          <t>New sheet MEDICAL; SRS FR2.6</t>
        </is>
      </c>
    </row>
    <row r="112">
      <c r="A112" s="48" t="inlineStr">
        <is>
          <t>SEC-01</t>
        </is>
      </c>
      <c r="B112" s="48" t="inlineStr">
        <is>
          <t>Added</t>
        </is>
      </c>
      <c r="C112" s="48" t="inlineStr">
        <is>
          <t>SOS requires press-and-hold before it starts</t>
        </is>
      </c>
      <c r="D112" s="48" t="inlineStr">
        <is>
          <t>New sheet SECURITY_SOS; SRS FR4.1</t>
        </is>
      </c>
    </row>
    <row r="113">
      <c r="A113" s="48" t="inlineStr">
        <is>
          <t>SEC-02</t>
        </is>
      </c>
      <c r="B113" s="48" t="inlineStr">
        <is>
          <t>Added</t>
        </is>
      </c>
      <c r="C113" s="48" t="inlineStr">
        <is>
          <t>Cancelling during the 60-second countdown sends nothing to the server</t>
        </is>
      </c>
      <c r="D113" s="48" t="inlineStr">
        <is>
          <t>New sheet SECURITY_SOS; SRS FR4.3</t>
        </is>
      </c>
    </row>
    <row r="114">
      <c r="A114" s="48" t="inlineStr">
        <is>
          <t>SEC-03</t>
        </is>
      </c>
      <c r="B114" s="48" t="inlineStr">
        <is>
          <t>Added</t>
        </is>
      </c>
      <c r="C114" s="48" t="inlineStr">
        <is>
          <t>SOS from a mock (fake) GPS location is refused in production</t>
        </is>
      </c>
      <c r="D114" s="48" t="inlineStr">
        <is>
          <t>New sheet SECURITY_SOS; SRS FR4.2</t>
        </is>
      </c>
    </row>
    <row r="115">
      <c r="A115" s="48" t="inlineStr">
        <is>
          <t>SEC-04</t>
        </is>
      </c>
      <c r="B115" s="48" t="inlineStr">
        <is>
          <t>Added</t>
        </is>
      </c>
      <c r="C115" s="48" t="inlineStr">
        <is>
          <t>More than 5 SOS in one hour is refused</t>
        </is>
      </c>
      <c r="D115" s="48" t="inlineStr">
        <is>
          <t>New sheet SECURITY_SOS; SRS FR4.5</t>
        </is>
      </c>
    </row>
    <row r="116">
      <c r="A116" s="48" t="inlineStr">
        <is>
          <t>SEC-05</t>
        </is>
      </c>
      <c r="B116" s="48" t="inlineStr">
        <is>
          <t>Added</t>
        </is>
      </c>
      <c r="C116" s="48" t="inlineStr">
        <is>
          <t>SOS outside Pakistan coordinates is refused</t>
        </is>
      </c>
      <c r="D116" s="48" t="inlineStr">
        <is>
          <t>New sheet SECURITY_SOS; SRS FR4.2</t>
        </is>
      </c>
    </row>
    <row r="117">
      <c r="A117" s="48" t="inlineStr">
        <is>
          <t>SEC-06</t>
        </is>
      </c>
      <c r="B117" s="48" t="inlineStr">
        <is>
          <t>Added</t>
        </is>
      </c>
      <c r="C117" s="48" t="inlineStr">
        <is>
          <t>Responder must add a note when closing as False alarm or Patient not found</t>
        </is>
      </c>
      <c r="D117" s="48" t="inlineStr">
        <is>
          <t>New sheet SECURITY_SOS; SRS FR6.2</t>
        </is>
      </c>
    </row>
    <row r="118">
      <c r="A118" s="48" t="inlineStr">
        <is>
          <t>SEC-07</t>
        </is>
      </c>
      <c r="B118" s="48" t="inlineStr">
        <is>
          <t>Added</t>
        </is>
      </c>
      <c r="C118" s="48" t="inlineStr">
        <is>
          <t>Patient is warned when an SOS is marked as a false alarm</t>
        </is>
      </c>
      <c r="D118" s="48" t="inlineStr">
        <is>
          <t>New sheet SECURITY_SOS; beyond SRS</t>
        </is>
      </c>
    </row>
    <row r="119">
      <c r="A119" s="48" t="inlineStr">
        <is>
          <t>SEC-08</t>
        </is>
      </c>
      <c r="B119" s="48" t="inlineStr">
        <is>
          <t>Added</t>
        </is>
      </c>
      <c r="C119" s="48" t="inlineStr">
        <is>
          <t>3 false alarms in 30 days alerts admins for review</t>
        </is>
      </c>
      <c r="D119" s="48" t="inlineStr">
        <is>
          <t>New sheet SECURITY_SOS; beyond SRS</t>
        </is>
      </c>
    </row>
    <row r="120">
      <c r="A120" s="48" t="inlineStr">
        <is>
          <t>SEC-09</t>
        </is>
      </c>
      <c r="B120" s="48" t="inlineStr">
        <is>
          <t>Added</t>
        </is>
      </c>
      <c r="C120" s="48" t="inlineStr">
        <is>
          <t>Patient-cancelled SOS never counts as a false alarm</t>
        </is>
      </c>
      <c r="D120" s="48" t="inlineStr">
        <is>
          <t>New sheet SECURITY_SOS; beyond SRS</t>
        </is>
      </c>
    </row>
    <row r="121">
      <c r="A121" s="48" t="inlineStr">
        <is>
          <t>SEC-10</t>
        </is>
      </c>
      <c r="B121" s="48" t="inlineStr">
        <is>
          <t>Added</t>
        </is>
      </c>
      <c r="C121" s="48" t="inlineStr">
        <is>
          <t>Refresh token cannot be used as an access token</t>
        </is>
      </c>
      <c r="D121" s="48" t="inlineStr">
        <is>
          <t>New sheet SECURITY_SOS; SRS FR1.6</t>
        </is>
      </c>
    </row>
    <row r="122">
      <c r="A122" s="48" t="inlineStr">
        <is>
          <t>SEC-11</t>
        </is>
      </c>
      <c r="B122" s="48" t="inlineStr">
        <is>
          <t>Added</t>
        </is>
      </c>
      <c r="C122" s="48" t="inlineStr">
        <is>
          <t>Users cannot join emergency or chat rooms they do not belong to</t>
        </is>
      </c>
      <c r="D122" s="48" t="inlineStr">
        <is>
          <t>New sheet SECURITY_SOS; SRS FR1.6</t>
        </is>
      </c>
    </row>
    <row r="123">
      <c r="A123" s="48" t="inlineStr">
        <is>
          <t>SEC-12</t>
        </is>
      </c>
      <c r="B123" s="48" t="inlineStr">
        <is>
          <t>Added</t>
        </is>
      </c>
      <c r="C123" s="48" t="inlineStr">
        <is>
          <t>Paid plan upgrade requires a verified Stripe payment</t>
        </is>
      </c>
      <c r="D123" s="48" t="inlineStr">
        <is>
          <t>New sheet SECURITY_SOS; beyond SRS</t>
        </is>
      </c>
    </row>
    <row r="124">
      <c r="A124" s="48" t="inlineStr">
        <is>
          <t>SEC-13</t>
        </is>
      </c>
      <c r="B124" s="48" t="inlineStr">
        <is>
          <t>Added</t>
        </is>
      </c>
      <c r="C124" s="48" t="inlineStr">
        <is>
          <t>Only the assigned responder can update or resolve an emergency</t>
        </is>
      </c>
      <c r="D124" s="48" t="inlineStr">
        <is>
          <t>New sheet SECURITY_SOS; SRS FR5.1</t>
        </is>
      </c>
    </row>
    <row r="125">
      <c r="A125" s="48" t="inlineStr">
        <is>
          <t>NAV-01</t>
        </is>
      </c>
      <c r="B125" s="48" t="inlineStr">
        <is>
          <t>Added</t>
        </is>
      </c>
      <c r="C125" s="48" t="inlineStr">
        <is>
          <t>Each role has a unified sidebar (AppDrawer) with role-specific items</t>
        </is>
      </c>
      <c r="D125" s="48" t="inlineStr">
        <is>
          <t>New sheet NAVIGATION_UI; SRS FR8.1</t>
        </is>
      </c>
    </row>
    <row r="126">
      <c r="A126" s="48" t="inlineStr">
        <is>
          <t>NAV-02</t>
        </is>
      </c>
      <c r="B126" s="48" t="inlineStr">
        <is>
          <t>Added</t>
        </is>
      </c>
      <c r="C126" s="48" t="inlineStr">
        <is>
          <t>Switching tabs preserves each tab's state and back navigation works</t>
        </is>
      </c>
      <c r="D126" s="48" t="inlineStr">
        <is>
          <t>New sheet NAVIGATION_UI; SRS FR8.2</t>
        </is>
      </c>
    </row>
    <row r="127">
      <c r="A127" s="48" t="inlineStr">
        <is>
          <t>NAV-03</t>
        </is>
      </c>
      <c r="B127" s="48" t="inlineStr">
        <is>
          <t>Added</t>
        </is>
      </c>
      <c r="C127" s="48" t="inlineStr">
        <is>
          <t>Role dashboards show quick action grids</t>
        </is>
      </c>
      <c r="D127" s="48" t="inlineStr">
        <is>
          <t>New sheet NAVIGATION_UI; SRS FR8.3</t>
        </is>
      </c>
    </row>
    <row r="128">
      <c r="A128" s="48" t="inlineStr">
        <is>
          <t>NAV-04</t>
        </is>
      </c>
      <c r="B128" s="48" t="inlineStr">
        <is>
          <t>Added</t>
        </is>
      </c>
      <c r="C128" s="48" t="inlineStr">
        <is>
          <t>Map and chat screens render smoothly (~60 FPS)</t>
        </is>
      </c>
      <c r="D128" s="48" t="inlineStr">
        <is>
          <t>New sheet NAVIGATION_UI; SRS FR8.4</t>
        </is>
      </c>
    </row>
    <row r="129">
      <c r="A129" s="48" t="inlineStr">
        <is>
          <t>NAV-05</t>
        </is>
      </c>
      <c r="B129" s="48" t="inlineStr">
        <is>
          <t>Added</t>
        </is>
      </c>
      <c r="C129" s="48" t="inlineStr">
        <is>
          <t>Large buttons mode enlarges tap targets across screens</t>
        </is>
      </c>
      <c r="D129" s="48" t="inlineStr">
        <is>
          <t>New sheet NAVIGATION_UI; SRS FR3.5</t>
        </is>
      </c>
    </row>
    <row r="130">
      <c r="A130" s="48" t="inlineStr">
        <is>
          <t>PRF-01</t>
        </is>
      </c>
      <c r="B130" s="48" t="inlineStr">
        <is>
          <t>Re-classified</t>
        </is>
      </c>
      <c r="C130" s="48" t="inlineStr">
        <is>
          <t>Marked "Beyond SRS" in the SRS Ref column</t>
        </is>
      </c>
      <c r="D130" s="48" t="inlineStr">
        <is>
          <t>Valid feature test with no matching SRS functional requirement</t>
        </is>
      </c>
    </row>
    <row r="131">
      <c r="A131" s="48" t="inlineStr">
        <is>
          <t>PRF-02</t>
        </is>
      </c>
      <c r="B131" s="48" t="inlineStr">
        <is>
          <t>Re-classified</t>
        </is>
      </c>
      <c r="C131" s="48" t="inlineStr">
        <is>
          <t>Marked "Beyond SRS" in the SRS Ref column</t>
        </is>
      </c>
      <c r="D131" s="48" t="inlineStr">
        <is>
          <t>Valid feature test with no matching SRS functional requirement</t>
        </is>
      </c>
    </row>
    <row r="132">
      <c r="A132" s="48" t="inlineStr">
        <is>
          <t>PRF-03</t>
        </is>
      </c>
      <c r="B132" s="48" t="inlineStr">
        <is>
          <t>Re-classified</t>
        </is>
      </c>
      <c r="C132" s="48" t="inlineStr">
        <is>
          <t>Marked "Beyond SRS" in the SRS Ref column</t>
        </is>
      </c>
      <c r="D132" s="48" t="inlineStr">
        <is>
          <t>Valid feature test with no matching SRS functional requirement</t>
        </is>
      </c>
    </row>
    <row r="133">
      <c r="A133" s="48" t="inlineStr">
        <is>
          <t>PRF-05</t>
        </is>
      </c>
      <c r="B133" s="48" t="inlineStr">
        <is>
          <t>Re-classified</t>
        </is>
      </c>
      <c r="C133" s="48" t="inlineStr">
        <is>
          <t>Marked "Beyond SRS" in the SRS Ref column</t>
        </is>
      </c>
      <c r="D133" s="48" t="inlineStr">
        <is>
          <t>Valid feature test with no matching SRS functional requirement</t>
        </is>
      </c>
    </row>
    <row r="134">
      <c r="A134" s="48" t="inlineStr">
        <is>
          <t>NTF-01</t>
        </is>
      </c>
      <c r="B134" s="48" t="inlineStr">
        <is>
          <t>Re-classified</t>
        </is>
      </c>
      <c r="C134" s="48" t="inlineStr">
        <is>
          <t>Marked "Beyond SRS" in the SRS Ref column</t>
        </is>
      </c>
      <c r="D134" s="48" t="inlineStr">
        <is>
          <t>Valid feature test with no matching SRS functional requirement</t>
        </is>
      </c>
    </row>
    <row r="135">
      <c r="A135" s="48" t="inlineStr">
        <is>
          <t>NTF-02</t>
        </is>
      </c>
      <c r="B135" s="48" t="inlineStr">
        <is>
          <t>Re-classified</t>
        </is>
      </c>
      <c r="C135" s="48" t="inlineStr">
        <is>
          <t>Marked "Beyond SRS" in the SRS Ref column</t>
        </is>
      </c>
      <c r="D135" s="48" t="inlineStr">
        <is>
          <t>Valid feature test with no matching SRS functional requirement</t>
        </is>
      </c>
    </row>
    <row r="136">
      <c r="A136" s="48" t="inlineStr">
        <is>
          <t>NTF-03</t>
        </is>
      </c>
      <c r="B136" s="48" t="inlineStr">
        <is>
          <t>Re-classified</t>
        </is>
      </c>
      <c r="C136" s="48" t="inlineStr">
        <is>
          <t>Marked "Beyond SRS" in the SRS Ref column</t>
        </is>
      </c>
      <c r="D136" s="48" t="inlineStr">
        <is>
          <t>Valid feature test with no matching SRS functional requirement</t>
        </is>
      </c>
    </row>
    <row r="137">
      <c r="A137" s="48" t="inlineStr">
        <is>
          <t>NTF-04</t>
        </is>
      </c>
      <c r="B137" s="48" t="inlineStr">
        <is>
          <t>Re-classified</t>
        </is>
      </c>
      <c r="C137" s="48" t="inlineStr">
        <is>
          <t>Marked "Beyond SRS" in the SRS Ref column</t>
        </is>
      </c>
      <c r="D137" s="48" t="inlineStr">
        <is>
          <t>Valid feature test with no matching SRS functional requirement</t>
        </is>
      </c>
    </row>
    <row r="138">
      <c r="A138" s="48" t="inlineStr">
        <is>
          <t>NTF-05</t>
        </is>
      </c>
      <c r="B138" s="48" t="inlineStr">
        <is>
          <t>Re-classified</t>
        </is>
      </c>
      <c r="C138" s="48" t="inlineStr">
        <is>
          <t>Marked "Beyond SRS" in the SRS Ref column</t>
        </is>
      </c>
      <c r="D138" s="48" t="inlineStr">
        <is>
          <t>Valid feature test with no matching SRS functional requirement</t>
        </is>
      </c>
    </row>
    <row r="139">
      <c r="A139" s="48" t="inlineStr">
        <is>
          <t>NTF-07</t>
        </is>
      </c>
      <c r="B139" s="48" t="inlineStr">
        <is>
          <t>Re-classified</t>
        </is>
      </c>
      <c r="C139" s="48" t="inlineStr">
        <is>
          <t>Marked "Beyond SRS" in the SRS Ref column</t>
        </is>
      </c>
      <c r="D139" s="48" t="inlineStr">
        <is>
          <t>Valid feature test with no matching SRS functional requirement</t>
        </is>
      </c>
    </row>
    <row r="140">
      <c r="A140" s="48" t="inlineStr">
        <is>
          <t>NTF-08</t>
        </is>
      </c>
      <c r="B140" s="48" t="inlineStr">
        <is>
          <t>Re-classified</t>
        </is>
      </c>
      <c r="C140" s="48" t="inlineStr">
        <is>
          <t>Marked "Beyond SRS" in the SRS Ref column</t>
        </is>
      </c>
      <c r="D140" s="48" t="inlineStr">
        <is>
          <t>Valid feature test with no matching SRS functional requirement</t>
        </is>
      </c>
    </row>
    <row r="141">
      <c r="A141" s="48" t="inlineStr">
        <is>
          <t>ACC-06</t>
        </is>
      </c>
      <c r="B141" s="48" t="inlineStr">
        <is>
          <t>Re-classified</t>
        </is>
      </c>
      <c r="C141" s="48" t="inlineStr">
        <is>
          <t>Marked "Beyond SRS" in the SRS Ref column</t>
        </is>
      </c>
      <c r="D141" s="48" t="inlineStr">
        <is>
          <t>Valid feature test with no matching SRS functional requirement</t>
        </is>
      </c>
    </row>
    <row r="142">
      <c r="A142" s="48" t="inlineStr">
        <is>
          <t>ACC-07</t>
        </is>
      </c>
      <c r="B142" s="48" t="inlineStr">
        <is>
          <t>Re-classified</t>
        </is>
      </c>
      <c r="C142" s="48" t="inlineStr">
        <is>
          <t>Marked "Beyond SRS" in the SRS Ref column</t>
        </is>
      </c>
      <c r="D142" s="48" t="inlineStr">
        <is>
          <t>Valid feature test with no matching SRS functional requirement</t>
        </is>
      </c>
    </row>
    <row r="143">
      <c r="A143" s="48" t="inlineStr">
        <is>
          <t>ACC-11</t>
        </is>
      </c>
      <c r="B143" s="48" t="inlineStr">
        <is>
          <t>Re-classified</t>
        </is>
      </c>
      <c r="C143" s="48" t="inlineStr">
        <is>
          <t>Marked "Beyond SRS" in the SRS Ref column</t>
        </is>
      </c>
      <c r="D143" s="48" t="inlineStr">
        <is>
          <t>Valid feature test with no matching SRS functional requirement</t>
        </is>
      </c>
    </row>
    <row r="144">
      <c r="A144" s="48" t="inlineStr">
        <is>
          <t>AUTH-12</t>
        </is>
      </c>
      <c r="B144" s="48" t="inlineStr">
        <is>
          <t>Re-classified</t>
        </is>
      </c>
      <c r="C144" s="48" t="inlineStr">
        <is>
          <t>Marked "Beyond SRS" in the SRS Ref column</t>
        </is>
      </c>
      <c r="D144" s="48" t="inlineStr">
        <is>
          <t>Valid feature test with no matching SRS functional requirement</t>
        </is>
      </c>
    </row>
    <row r="145">
      <c r="A145" s="48" t="inlineStr">
        <is>
          <t>API-04</t>
        </is>
      </c>
      <c r="B145" s="48" t="inlineStr">
        <is>
          <t>Re-classified</t>
        </is>
      </c>
      <c r="C145" s="48" t="inlineStr">
        <is>
          <t>Marked "Beyond SRS" in the SRS Ref column</t>
        </is>
      </c>
      <c r="D145" s="48" t="inlineStr">
        <is>
          <t>Valid feature test with no matching SRS functional requirement</t>
        </is>
      </c>
    </row>
    <row r="146">
      <c r="A146" s="48" t="inlineStr">
        <is>
          <t>API-08</t>
        </is>
      </c>
      <c r="B146" s="48" t="inlineStr">
        <is>
          <t>Re-classified</t>
        </is>
      </c>
      <c r="C146" s="48" t="inlineStr">
        <is>
          <t>Marked "Beyond SRS" in the SRS Ref column</t>
        </is>
      </c>
      <c r="D146" s="48" t="inlineStr">
        <is>
          <t>Valid feature test with no matching SRS functional requirement</t>
        </is>
      </c>
    </row>
    <row r="147">
      <c r="A147" s="48" t="inlineStr">
        <is>
          <t>API-09</t>
        </is>
      </c>
      <c r="B147" s="48" t="inlineStr">
        <is>
          <t>Re-classified</t>
        </is>
      </c>
      <c r="C147" s="48" t="inlineStr">
        <is>
          <t>Marked "Beyond SRS" in the SRS Ref column</t>
        </is>
      </c>
      <c r="D147" s="48" t="inlineStr">
        <is>
          <t>Valid feature test with no matching SRS functional requirement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2026-09-18T06:46:20Z</dcterms:created>
  <dcterms:modified xmlns:dcterms="http://purl.org/dc/terms/" xmlns:xsi="http://www.w3.org/2001/XMLSchema-instance" xsi:type="dcterms:W3CDTF">2026-09-18T06:46:20Z</dcterms:modified>
</cp:coreProperties>
</file>